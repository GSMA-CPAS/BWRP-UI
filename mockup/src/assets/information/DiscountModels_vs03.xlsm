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A69660365\Desktop\Preparation Mobileum\Discount Models\"/>
    </mc:Choice>
  </mc:AlternateContent>
  <xr:revisionPtr revIDLastSave="0" documentId="13_ncr:1_{C21B927A-F0BD-4F9D-86C0-45ADCE7963E9}" xr6:coauthVersionLast="36" xr6:coauthVersionMax="36" xr10:uidLastSave="{00000000-0000-0000-0000-000000000000}"/>
  <bookViews>
    <workbookView xWindow="0" yWindow="0" windowWidth="25200" windowHeight="9375" tabRatio="887" activeTab="2" xr2:uid="{815F04C9-960B-4955-8F11-A4C67BD70ED1}"/>
  </bookViews>
  <sheets>
    <sheet name="DiscountModels" sheetId="3" r:id="rId1"/>
    <sheet name="Overview1" sheetId="11" r:id="rId2"/>
    <sheet name="Overview2" sheetId="17" r:id="rId3"/>
    <sheet name="SERVICES" sheetId="7" r:id="rId4"/>
    <sheet name="Flat" sheetId="6" r:id="rId5"/>
    <sheet name="LBI" sheetId="4" r:id="rId6"/>
    <sheet name="Baseline" sheetId="1" r:id="rId7"/>
    <sheet name="BackToFirst" sheetId="2" r:id="rId8"/>
    <sheet name="BaselineBackToFirst" sheetId="12" r:id="rId9"/>
    <sheet name="BalancedUnbalanced" sheetId="5" r:id="rId10"/>
    <sheet name="PriceCap" sheetId="15" r:id="rId11"/>
    <sheet name="SoP" sheetId="13" r:id="rId12"/>
    <sheet name="revenueCommitment" sheetId="14" r:id="rId13"/>
    <sheet name="revenueCommitment_UsageCaps" sheetId="16" r:id="rId14"/>
    <sheet name="TAX" sheetId="19"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4" i="19" l="1"/>
  <c r="G30" i="19"/>
  <c r="G17" i="19"/>
  <c r="E17" i="19"/>
  <c r="G13" i="19"/>
  <c r="I33" i="16"/>
  <c r="D32" i="16"/>
  <c r="K47" i="13"/>
  <c r="G47" i="13"/>
  <c r="F48" i="13"/>
  <c r="F47" i="13"/>
  <c r="H33" i="13"/>
  <c r="E33" i="13"/>
  <c r="D34" i="13"/>
  <c r="E34" i="13" s="1"/>
  <c r="F34" i="13" s="1"/>
  <c r="D33" i="13"/>
  <c r="F33" i="13" s="1"/>
  <c r="L60" i="5"/>
  <c r="L59" i="5"/>
  <c r="M60" i="5"/>
  <c r="M59" i="5"/>
  <c r="J59" i="5"/>
  <c r="G60" i="5"/>
  <c r="G59" i="5"/>
  <c r="F59" i="5"/>
  <c r="F60" i="5"/>
  <c r="E60" i="5"/>
  <c r="E59" i="5"/>
  <c r="I32" i="5"/>
  <c r="G43" i="4"/>
  <c r="G46" i="6"/>
  <c r="G47" i="6"/>
  <c r="D27" i="16"/>
  <c r="D28" i="16" s="1"/>
  <c r="H35" i="16"/>
  <c r="H28" i="16"/>
  <c r="C28" i="16"/>
  <c r="I28" i="16"/>
  <c r="J27" i="16"/>
  <c r="I34" i="16" s="1"/>
  <c r="J34" i="16" s="1"/>
  <c r="J26" i="16"/>
  <c r="J25" i="16"/>
  <c r="I32" i="16" s="1"/>
  <c r="J32" i="16" s="1"/>
  <c r="E26" i="16"/>
  <c r="D33" i="16" s="1"/>
  <c r="E33" i="16" s="1"/>
  <c r="E25" i="16"/>
  <c r="F25" i="16" s="1"/>
  <c r="C35" i="16"/>
  <c r="H37" i="15"/>
  <c r="H40" i="15"/>
  <c r="I40" i="15"/>
  <c r="I39" i="15"/>
  <c r="I38" i="15"/>
  <c r="I37" i="15"/>
  <c r="E40" i="15"/>
  <c r="F40" i="15" s="1"/>
  <c r="D40" i="15"/>
  <c r="D37" i="15"/>
  <c r="D39" i="15"/>
  <c r="E39" i="15" s="1"/>
  <c r="F39" i="15" s="1"/>
  <c r="E38" i="15"/>
  <c r="F38" i="15" s="1"/>
  <c r="H39" i="15"/>
  <c r="H38" i="15"/>
  <c r="G36" i="14"/>
  <c r="G35" i="14"/>
  <c r="G34" i="14"/>
  <c r="G33" i="14"/>
  <c r="K33" i="14" s="1"/>
  <c r="G55" i="14"/>
  <c r="G58" i="14"/>
  <c r="G57" i="14"/>
  <c r="G56" i="14"/>
  <c r="J58" i="14"/>
  <c r="J57" i="14"/>
  <c r="J56" i="14"/>
  <c r="J55" i="14"/>
  <c r="D58" i="14"/>
  <c r="E58" i="14" s="1"/>
  <c r="D57" i="14"/>
  <c r="E57" i="14" s="1"/>
  <c r="E56" i="14"/>
  <c r="D56" i="14"/>
  <c r="D55" i="14"/>
  <c r="E55" i="14" s="1"/>
  <c r="J36" i="14"/>
  <c r="J35" i="14"/>
  <c r="J34" i="14"/>
  <c r="J33" i="14"/>
  <c r="K36" i="14"/>
  <c r="K35" i="14"/>
  <c r="K34" i="14"/>
  <c r="E36" i="14"/>
  <c r="E35" i="14"/>
  <c r="E34" i="14"/>
  <c r="D36" i="14"/>
  <c r="D35" i="14"/>
  <c r="D34" i="14"/>
  <c r="D33" i="14"/>
  <c r="E33" i="14"/>
  <c r="J48" i="13"/>
  <c r="D48" i="13"/>
  <c r="E48" i="13" s="1"/>
  <c r="E47" i="13"/>
  <c r="G48" i="13"/>
  <c r="D47" i="13"/>
  <c r="J47" i="13"/>
  <c r="J34" i="13"/>
  <c r="J33" i="13"/>
  <c r="D44" i="4"/>
  <c r="D43" i="4"/>
  <c r="G36" i="12"/>
  <c r="F36" i="12"/>
  <c r="D36" i="12"/>
  <c r="D35" i="12"/>
  <c r="G35" i="12"/>
  <c r="D34" i="12"/>
  <c r="G34" i="12" s="1"/>
  <c r="D33" i="12"/>
  <c r="G33" i="12" s="1"/>
  <c r="F35" i="12"/>
  <c r="F34" i="12"/>
  <c r="F33" i="12"/>
  <c r="M18" i="3"/>
  <c r="H18" i="3"/>
  <c r="L18" i="3"/>
  <c r="G18" i="3"/>
  <c r="E18" i="3"/>
  <c r="K18" i="3"/>
  <c r="F18" i="3"/>
  <c r="J18" i="3"/>
  <c r="L17" i="3"/>
  <c r="G17" i="3"/>
  <c r="E17" i="3"/>
  <c r="H17" i="3"/>
  <c r="K17" i="3"/>
  <c r="F17" i="3"/>
  <c r="J17" i="3"/>
  <c r="M17" i="3"/>
  <c r="M16" i="3"/>
  <c r="H16" i="3"/>
  <c r="F16" i="3"/>
  <c r="E16" i="3"/>
  <c r="L16" i="3"/>
  <c r="G16" i="3"/>
  <c r="K16" i="3"/>
  <c r="J16" i="3"/>
  <c r="E14" i="3"/>
  <c r="M13" i="3"/>
  <c r="H13" i="3"/>
  <c r="L13" i="3"/>
  <c r="G13" i="3"/>
  <c r="K13" i="3"/>
  <c r="F13" i="3"/>
  <c r="J13" i="3"/>
  <c r="E13" i="3"/>
  <c r="G34" i="19" l="1"/>
  <c r="J33" i="16"/>
  <c r="J35" i="16" s="1"/>
  <c r="K27" i="16"/>
  <c r="F26" i="16"/>
  <c r="K25" i="16"/>
  <c r="K26" i="16"/>
  <c r="E32" i="16"/>
  <c r="E27" i="16"/>
  <c r="J28" i="16"/>
  <c r="E37" i="15"/>
  <c r="F37" i="15" s="1"/>
  <c r="F41" i="15"/>
  <c r="K37" i="14"/>
  <c r="G37" i="14"/>
  <c r="G59" i="14"/>
  <c r="H57" i="14"/>
  <c r="K57" i="14"/>
  <c r="H56" i="14"/>
  <c r="K56" i="14"/>
  <c r="K58" i="14"/>
  <c r="H58" i="14"/>
  <c r="E59" i="14"/>
  <c r="F59" i="14" s="1"/>
  <c r="E37" i="14"/>
  <c r="H35" i="14" s="1"/>
  <c r="K48" i="13"/>
  <c r="H48" i="13"/>
  <c r="H47" i="13"/>
  <c r="G33" i="13"/>
  <c r="G34" i="13"/>
  <c r="K34" i="13" l="1"/>
  <c r="H34" i="13"/>
  <c r="K33" i="13"/>
  <c r="D34" i="16"/>
  <c r="E34" i="16" s="1"/>
  <c r="E35" i="16" s="1"/>
  <c r="E28" i="16"/>
  <c r="F27" i="16"/>
  <c r="I41" i="15"/>
  <c r="F58" i="14"/>
  <c r="F57" i="14"/>
  <c r="F55" i="14"/>
  <c r="F56" i="14"/>
  <c r="K55" i="14"/>
  <c r="K59" i="14" s="1"/>
  <c r="H55" i="14"/>
  <c r="H36" i="14"/>
  <c r="F37" i="14"/>
  <c r="H33" i="14"/>
  <c r="H34" i="14" l="1"/>
  <c r="F33" i="14"/>
  <c r="F36" i="14"/>
  <c r="F34" i="14"/>
  <c r="F35" i="14"/>
  <c r="F43" i="4" l="1"/>
  <c r="K60" i="5" l="1"/>
  <c r="K59" i="5"/>
  <c r="J60" i="5"/>
  <c r="E48" i="6"/>
  <c r="D47" i="6"/>
  <c r="D46" i="6"/>
  <c r="F45" i="6"/>
  <c r="F48" i="6" s="1"/>
  <c r="D45" i="6"/>
  <c r="G45" i="6" s="1"/>
  <c r="F31" i="6"/>
  <c r="D33" i="6"/>
  <c r="G33" i="6" s="1"/>
  <c r="D32" i="6"/>
  <c r="G32" i="6" s="1"/>
  <c r="D31" i="6"/>
  <c r="G31" i="6" s="1"/>
  <c r="F33" i="6"/>
  <c r="F32" i="6"/>
  <c r="G44" i="4"/>
  <c r="E45" i="4"/>
  <c r="F44" i="4"/>
  <c r="F42" i="4"/>
  <c r="F41" i="4"/>
  <c r="F40" i="4"/>
  <c r="F39" i="4"/>
  <c r="D42" i="4"/>
  <c r="G42" i="4" s="1"/>
  <c r="D41" i="4"/>
  <c r="G41" i="4" s="1"/>
  <c r="D40" i="4"/>
  <c r="G40" i="4" s="1"/>
  <c r="D39" i="4"/>
  <c r="G39" i="4" s="1"/>
  <c r="H46" i="5"/>
  <c r="E46" i="5"/>
  <c r="D46" i="5"/>
  <c r="H45" i="5"/>
  <c r="D45" i="5"/>
  <c r="H33" i="5"/>
  <c r="H32" i="5"/>
  <c r="E33" i="5"/>
  <c r="D33" i="5"/>
  <c r="D32" i="5"/>
  <c r="E32" i="5" s="1"/>
  <c r="F32" i="5" s="1"/>
  <c r="D34" i="2"/>
  <c r="G34" i="2" s="1"/>
  <c r="D33" i="2"/>
  <c r="G33" i="2" s="1"/>
  <c r="D32" i="2"/>
  <c r="G32" i="2" s="1"/>
  <c r="F34" i="2"/>
  <c r="F33" i="2"/>
  <c r="F32" i="2"/>
  <c r="F34" i="1"/>
  <c r="F33" i="1"/>
  <c r="F32" i="1"/>
  <c r="D34" i="1"/>
  <c r="G34" i="1" s="1"/>
  <c r="D33" i="1"/>
  <c r="G33" i="1" s="1"/>
  <c r="D32" i="1"/>
  <c r="G32" i="1" s="1"/>
  <c r="E12" i="3"/>
  <c r="M12" i="3"/>
  <c r="E11" i="3"/>
  <c r="H9" i="3"/>
  <c r="J12" i="3"/>
  <c r="J14" i="3"/>
  <c r="K10" i="3"/>
  <c r="L12" i="3"/>
  <c r="M14" i="3"/>
  <c r="K11" i="3"/>
  <c r="M9" i="3"/>
  <c r="L14" i="3"/>
  <c r="J11" i="3"/>
  <c r="F12" i="3"/>
  <c r="L10" i="3"/>
  <c r="G12" i="3"/>
  <c r="G14" i="3"/>
  <c r="L11" i="3"/>
  <c r="G9" i="3"/>
  <c r="G10" i="3"/>
  <c r="F9" i="3"/>
  <c r="M10" i="3"/>
  <c r="K9" i="3"/>
  <c r="J9" i="3"/>
  <c r="K14" i="3"/>
  <c r="H11" i="3"/>
  <c r="F11" i="3"/>
  <c r="G11" i="3"/>
  <c r="H10" i="3"/>
  <c r="F10" i="3"/>
  <c r="H12" i="3"/>
  <c r="L9" i="3"/>
  <c r="F14" i="3"/>
  <c r="K12" i="3"/>
  <c r="J10" i="3"/>
  <c r="H14" i="3"/>
  <c r="E10" i="3"/>
  <c r="M11" i="3"/>
  <c r="E9" i="3"/>
  <c r="F45" i="4" l="1"/>
  <c r="F46" i="5"/>
  <c r="I46" i="5" s="1"/>
  <c r="G48" i="6"/>
  <c r="D45" i="4"/>
  <c r="G45" i="4"/>
  <c r="D48" i="6"/>
  <c r="E45" i="5"/>
  <c r="F45" i="5" s="1"/>
  <c r="I45" i="5" s="1"/>
  <c r="F33" i="5"/>
  <c r="I3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0" authorId="0" shapeId="0" xr:uid="{6AB8AB22-C0BA-487C-AF5D-09BB7406601A}">
      <text>
        <r>
          <rPr>
            <b/>
            <sz val="9"/>
            <color indexed="81"/>
            <rFont val="Segoe UI"/>
            <family val="2"/>
          </rPr>
          <t>Alexandrowa, Daniela:</t>
        </r>
        <r>
          <rPr>
            <sz val="9"/>
            <color indexed="81"/>
            <rFont val="Segoe UI"/>
            <family val="2"/>
          </rPr>
          <t xml:space="preserve">
the volume which has been reached during the discount period</t>
        </r>
      </text>
    </comment>
    <comment ref="E30" authorId="0" shapeId="0" xr:uid="{3B1B699A-DF57-4645-BCA9-4B56F3E6D3FC}">
      <text>
        <r>
          <rPr>
            <b/>
            <sz val="9"/>
            <color indexed="81"/>
            <rFont val="Segoe UI"/>
            <family val="2"/>
          </rPr>
          <t>Alexandrowa, Daniela:</t>
        </r>
        <r>
          <rPr>
            <sz val="9"/>
            <color indexed="81"/>
            <rFont val="Segoe UI"/>
            <family val="2"/>
          </rPr>
          <t xml:space="preserve">
actual costs: information is coming from TAP files = TAP charge</t>
        </r>
      </text>
    </comment>
    <comment ref="F30" authorId="0" shapeId="0" xr:uid="{DEC742AC-7B6B-43DA-AAE3-853689926DB9}">
      <text>
        <r>
          <rPr>
            <b/>
            <sz val="9"/>
            <color indexed="81"/>
            <rFont val="Segoe UI"/>
            <family val="2"/>
          </rPr>
          <t>Alexandrowa, Daniela:</t>
        </r>
        <r>
          <rPr>
            <sz val="9"/>
            <color indexed="81"/>
            <rFont val="Segoe UI"/>
            <family val="2"/>
          </rPr>
          <t xml:space="preserve">
calculated price: TOTAL Costs/act. VOLUME</t>
        </r>
      </text>
    </comment>
    <comment ref="C44" authorId="0" shapeId="0" xr:uid="{FEA8A61E-73E5-4055-98A5-990C4D0CCB84}">
      <text>
        <r>
          <rPr>
            <b/>
            <sz val="9"/>
            <color indexed="81"/>
            <rFont val="Segoe UI"/>
            <family val="2"/>
          </rPr>
          <t>Alexandrowa, Daniela:</t>
        </r>
        <r>
          <rPr>
            <sz val="9"/>
            <color indexed="81"/>
            <rFont val="Segoe UI"/>
            <family val="2"/>
          </rPr>
          <t xml:space="preserve">
the volume which has been reached during the discount period</t>
        </r>
      </text>
    </comment>
    <comment ref="E44" authorId="0" shapeId="0" xr:uid="{3E54A5E1-5487-469A-B424-2027C31EB119}">
      <text>
        <r>
          <rPr>
            <b/>
            <sz val="9"/>
            <color indexed="81"/>
            <rFont val="Segoe UI"/>
            <family val="2"/>
          </rPr>
          <t>Alexandrowa, Daniela:</t>
        </r>
        <r>
          <rPr>
            <sz val="9"/>
            <color indexed="81"/>
            <rFont val="Segoe UI"/>
            <family val="2"/>
          </rPr>
          <t xml:space="preserve">
actual costs: information is coming from TAP files = TAP charge</t>
        </r>
      </text>
    </comment>
    <comment ref="F44" authorId="0" shapeId="0" xr:uid="{9CB57575-1347-4F0C-A9BE-93EC8F78BEDD}">
      <text>
        <r>
          <rPr>
            <b/>
            <sz val="9"/>
            <color indexed="81"/>
            <rFont val="Segoe UI"/>
            <family val="2"/>
          </rPr>
          <t>Alexandrowa, Daniela:</t>
        </r>
        <r>
          <rPr>
            <sz val="9"/>
            <color indexed="81"/>
            <rFont val="Segoe UI"/>
            <family val="2"/>
          </rPr>
          <t xml:space="preserve">
calculated price: TOTAL Costs/act. VOLUME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8" authorId="0" shapeId="0" xr:uid="{C99FD8FA-E606-453D-83A5-EBB3DE9B25F5}">
      <text>
        <r>
          <rPr>
            <b/>
            <sz val="9"/>
            <color indexed="81"/>
            <rFont val="Segoe UI"/>
            <family val="2"/>
          </rPr>
          <t>Alexandrowa, Daniela:</t>
        </r>
        <r>
          <rPr>
            <sz val="9"/>
            <color indexed="81"/>
            <rFont val="Segoe UI"/>
            <family val="2"/>
          </rPr>
          <t xml:space="preserve">
the volume which has been reached during the discount period</t>
        </r>
      </text>
    </comment>
    <comment ref="E38" authorId="0" shapeId="0" xr:uid="{1879AFD7-A9E8-4B42-A5E5-69E2C4B0EBAD}">
      <text>
        <r>
          <rPr>
            <b/>
            <sz val="9"/>
            <color indexed="81"/>
            <rFont val="Segoe UI"/>
            <family val="2"/>
          </rPr>
          <t>Alexandrowa, Daniela:</t>
        </r>
        <r>
          <rPr>
            <sz val="9"/>
            <color indexed="81"/>
            <rFont val="Segoe UI"/>
            <family val="2"/>
          </rPr>
          <t xml:space="preserve">
actual costs: information is coming from TAP files = TAP charge</t>
        </r>
      </text>
    </comment>
    <comment ref="F38" authorId="0" shapeId="0" xr:uid="{BCA8BFB5-BC97-4400-B967-96C3067A5378}">
      <text>
        <r>
          <rPr>
            <b/>
            <sz val="9"/>
            <color indexed="81"/>
            <rFont val="Segoe UI"/>
            <family val="2"/>
          </rPr>
          <t>Alexandrowa, Daniela:</t>
        </r>
        <r>
          <rPr>
            <sz val="9"/>
            <color indexed="81"/>
            <rFont val="Segoe UI"/>
            <family val="2"/>
          </rPr>
          <t xml:space="preserve">
calculated price: TOTAL costs/actual VOLUME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1" authorId="0" shapeId="0" xr:uid="{743D7A46-5637-4321-9032-00371D88A420}">
      <text>
        <r>
          <rPr>
            <b/>
            <sz val="9"/>
            <color indexed="81"/>
            <rFont val="Segoe UI"/>
            <family val="2"/>
          </rPr>
          <t>Alexandrowa, Daniela:</t>
        </r>
        <r>
          <rPr>
            <sz val="9"/>
            <color indexed="81"/>
            <rFont val="Segoe UI"/>
            <family val="2"/>
          </rPr>
          <t xml:space="preserve">
the volume which has been reached during the discount period</t>
        </r>
      </text>
    </comment>
    <comment ref="E31" authorId="0" shapeId="0" xr:uid="{AF1BEA13-45D8-4349-A8F2-6EFA27E17B26}">
      <text>
        <r>
          <rPr>
            <b/>
            <sz val="9"/>
            <color indexed="81"/>
            <rFont val="Segoe UI"/>
            <family val="2"/>
          </rPr>
          <t>Alexandrowa, Daniela:</t>
        </r>
        <r>
          <rPr>
            <sz val="9"/>
            <color indexed="81"/>
            <rFont val="Segoe UI"/>
            <family val="2"/>
          </rPr>
          <t xml:space="preserve">
actual costs: information is coming from TAP files = TAP charge</t>
        </r>
      </text>
    </comment>
    <comment ref="F31" authorId="0" shapeId="0" xr:uid="{303972C0-094C-49E7-8570-604012134B88}">
      <text>
        <r>
          <rPr>
            <b/>
            <sz val="9"/>
            <color indexed="81"/>
            <rFont val="Segoe UI"/>
            <family val="2"/>
          </rPr>
          <t>Alexandrowa, Daniela:</t>
        </r>
        <r>
          <rPr>
            <sz val="9"/>
            <color indexed="81"/>
            <rFont val="Segoe UI"/>
            <family val="2"/>
          </rPr>
          <t xml:space="preserve">
calculated price: TOTAL costs/actual VOLUME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1" authorId="0" shapeId="0" xr:uid="{6A6B25E0-CE0D-4ACF-9345-7B8AE0CAC213}">
      <text>
        <r>
          <rPr>
            <b/>
            <sz val="9"/>
            <color indexed="81"/>
            <rFont val="Segoe UI"/>
            <family val="2"/>
          </rPr>
          <t>Alexandrowa, Daniela:</t>
        </r>
        <r>
          <rPr>
            <sz val="9"/>
            <color indexed="81"/>
            <rFont val="Segoe UI"/>
            <family val="2"/>
          </rPr>
          <t xml:space="preserve">
the volume which has been reached during the discount period</t>
        </r>
      </text>
    </comment>
    <comment ref="E31" authorId="0" shapeId="0" xr:uid="{E1E41435-544E-4D33-BDF8-BE26EE0E629D}">
      <text>
        <r>
          <rPr>
            <b/>
            <sz val="9"/>
            <color indexed="81"/>
            <rFont val="Segoe UI"/>
            <family val="2"/>
          </rPr>
          <t>Alexandrowa, Daniela:</t>
        </r>
        <r>
          <rPr>
            <sz val="9"/>
            <color indexed="81"/>
            <rFont val="Segoe UI"/>
            <family val="2"/>
          </rPr>
          <t xml:space="preserve">
actual costs: information is coming from TAP files = TAP charge</t>
        </r>
      </text>
    </comment>
    <comment ref="F31" authorId="0" shapeId="0" xr:uid="{FFD28B31-FD83-4A0C-A636-8A52DF119883}">
      <text>
        <r>
          <rPr>
            <b/>
            <sz val="9"/>
            <color indexed="81"/>
            <rFont val="Segoe UI"/>
            <family val="2"/>
          </rPr>
          <t>Alexandrowa, Daniela:</t>
        </r>
        <r>
          <rPr>
            <sz val="9"/>
            <color indexed="81"/>
            <rFont val="Segoe UI"/>
            <family val="2"/>
          </rPr>
          <t xml:space="preserve">
calculated price: TOTAL costs/actual VOLUME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2" authorId="0" shapeId="0" xr:uid="{B150800B-FBC4-4157-A50C-0BAC86B3F229}">
      <text>
        <r>
          <rPr>
            <b/>
            <sz val="9"/>
            <color indexed="81"/>
            <rFont val="Segoe UI"/>
            <family val="2"/>
          </rPr>
          <t>Alexandrowa, Daniela:</t>
        </r>
        <r>
          <rPr>
            <sz val="9"/>
            <color indexed="81"/>
            <rFont val="Segoe UI"/>
            <family val="2"/>
          </rPr>
          <t xml:space="preserve">
the volume which has been reached during the discount period</t>
        </r>
      </text>
    </comment>
    <comment ref="E32" authorId="0" shapeId="0" xr:uid="{6587FF3B-03E8-4A92-9F37-D6937A5584E6}">
      <text>
        <r>
          <rPr>
            <b/>
            <sz val="9"/>
            <color indexed="81"/>
            <rFont val="Segoe UI"/>
            <family val="2"/>
          </rPr>
          <t>Alexandrowa, Daniela:</t>
        </r>
        <r>
          <rPr>
            <sz val="9"/>
            <color indexed="81"/>
            <rFont val="Segoe UI"/>
            <family val="2"/>
          </rPr>
          <t xml:space="preserve">
actual costs: information is coming from TAP files = TAP charge</t>
        </r>
      </text>
    </comment>
    <comment ref="F32" authorId="0" shapeId="0" xr:uid="{F5A1D789-1C77-4EE6-859D-A64F84D1C7AD}">
      <text>
        <r>
          <rPr>
            <b/>
            <sz val="9"/>
            <color indexed="81"/>
            <rFont val="Segoe UI"/>
            <family val="2"/>
          </rPr>
          <t>Alexandrowa, Daniela:</t>
        </r>
        <r>
          <rPr>
            <sz val="9"/>
            <color indexed="81"/>
            <rFont val="Segoe UI"/>
            <family val="2"/>
          </rPr>
          <t xml:space="preserve">
calculated price: TOTAL costs/actual VOLUME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1" authorId="0" shapeId="0" xr:uid="{4671E1A2-C104-44C6-B98A-E647A91EACA3}">
      <text>
        <r>
          <rPr>
            <b/>
            <sz val="9"/>
            <color indexed="81"/>
            <rFont val="Segoe UI"/>
            <family val="2"/>
          </rPr>
          <t>Alexandrowa, Daniela:</t>
        </r>
        <r>
          <rPr>
            <sz val="9"/>
            <color indexed="81"/>
            <rFont val="Segoe UI"/>
            <family val="2"/>
          </rPr>
          <t xml:space="preserve">
the volume which has been reached during the discount period</t>
        </r>
      </text>
    </comment>
    <comment ref="G31" authorId="0" shapeId="0" xr:uid="{324190EB-8F39-472B-A7B5-66763C4DCFAE}">
      <text>
        <r>
          <rPr>
            <b/>
            <sz val="9"/>
            <color indexed="81"/>
            <rFont val="Segoe UI"/>
            <family val="2"/>
          </rPr>
          <t>Alexandrowa, Daniela:</t>
        </r>
        <r>
          <rPr>
            <sz val="9"/>
            <color indexed="81"/>
            <rFont val="Segoe UI"/>
            <family val="2"/>
          </rPr>
          <t xml:space="preserve">
actual costs: information is coming from TAP files = TAP charge</t>
        </r>
      </text>
    </comment>
    <comment ref="H31" authorId="0" shapeId="0" xr:uid="{0746BA9A-71A8-44CA-82EE-2A3493875C1A}">
      <text>
        <r>
          <rPr>
            <b/>
            <sz val="9"/>
            <color indexed="81"/>
            <rFont val="Segoe UI"/>
            <family val="2"/>
          </rPr>
          <t>Alexandrowa, Daniela:</t>
        </r>
        <r>
          <rPr>
            <sz val="9"/>
            <color indexed="81"/>
            <rFont val="Segoe UI"/>
            <family val="2"/>
          </rPr>
          <t xml:space="preserve">
calculated price: TOTAL Costs/act. VOLUME</t>
        </r>
      </text>
    </comment>
    <comment ref="C44" authorId="0" shapeId="0" xr:uid="{550AA22E-EDD3-48DE-BC22-24631606EA6C}">
      <text>
        <r>
          <rPr>
            <b/>
            <sz val="9"/>
            <color indexed="81"/>
            <rFont val="Segoe UI"/>
            <family val="2"/>
          </rPr>
          <t>Alexandrowa, Daniela:</t>
        </r>
        <r>
          <rPr>
            <sz val="9"/>
            <color indexed="81"/>
            <rFont val="Segoe UI"/>
            <family val="2"/>
          </rPr>
          <t xml:space="preserve">
the volume which has been reached during the discount period</t>
        </r>
      </text>
    </comment>
    <comment ref="G44" authorId="0" shapeId="0" xr:uid="{2867B5BC-6E76-4F34-9E45-857D2BD0DB2A}">
      <text>
        <r>
          <rPr>
            <b/>
            <sz val="9"/>
            <color indexed="81"/>
            <rFont val="Segoe UI"/>
            <family val="2"/>
          </rPr>
          <t>Alexandrowa, Daniela:</t>
        </r>
        <r>
          <rPr>
            <sz val="9"/>
            <color indexed="81"/>
            <rFont val="Segoe UI"/>
            <family val="2"/>
          </rPr>
          <t xml:space="preserve">
actual costs: information is coming from TAP files = TAP charge</t>
        </r>
      </text>
    </comment>
    <comment ref="H44" authorId="0" shapeId="0" xr:uid="{8A98DCF2-8127-4ABA-B05E-399A479CEB4C}">
      <text>
        <r>
          <rPr>
            <b/>
            <sz val="9"/>
            <color indexed="81"/>
            <rFont val="Segoe UI"/>
            <family val="2"/>
          </rPr>
          <t>Alexandrowa, Daniela:</t>
        </r>
        <r>
          <rPr>
            <sz val="9"/>
            <color indexed="81"/>
            <rFont val="Segoe UI"/>
            <family val="2"/>
          </rPr>
          <t xml:space="preserve">
calculated price: TOTAL Costs/act. VOLUME</t>
        </r>
      </text>
    </comment>
    <comment ref="C58" authorId="0" shapeId="0" xr:uid="{DC2A8A7D-954D-483C-8054-D85B739396D0}">
      <text>
        <r>
          <rPr>
            <b/>
            <sz val="9"/>
            <color indexed="81"/>
            <rFont val="Segoe UI"/>
            <family val="2"/>
          </rPr>
          <t>Alexandrowa, Daniela:</t>
        </r>
        <r>
          <rPr>
            <sz val="9"/>
            <color indexed="81"/>
            <rFont val="Segoe UI"/>
            <family val="2"/>
          </rPr>
          <t xml:space="preserve">
the volume which has been reached during the discount period</t>
        </r>
      </text>
    </comment>
    <comment ref="H58" authorId="0" shapeId="0" xr:uid="{D86F5ED8-E17C-410F-AC90-D5AAA273330B}">
      <text>
        <r>
          <rPr>
            <b/>
            <sz val="9"/>
            <color indexed="81"/>
            <rFont val="Segoe UI"/>
            <family val="2"/>
          </rPr>
          <t>Alexandrowa, Daniela:</t>
        </r>
        <r>
          <rPr>
            <sz val="9"/>
            <color indexed="81"/>
            <rFont val="Segoe UI"/>
            <family val="2"/>
          </rPr>
          <t xml:space="preserve">
actual costs: information is coming from TAP files</t>
        </r>
      </text>
    </comment>
    <comment ref="I58" authorId="0" shapeId="0" xr:uid="{33FA8901-C547-4D78-9E3E-0BB3E2AEF434}">
      <text>
        <r>
          <rPr>
            <b/>
            <sz val="9"/>
            <color indexed="81"/>
            <rFont val="Segoe UI"/>
            <family val="2"/>
          </rPr>
          <t>Alexandrowa, Daniela:</t>
        </r>
        <r>
          <rPr>
            <sz val="9"/>
            <color indexed="81"/>
            <rFont val="Segoe UI"/>
            <family val="2"/>
          </rPr>
          <t xml:space="preserve">
actual costs: information is coming from TAP files</t>
        </r>
      </text>
    </comment>
    <comment ref="J58" authorId="0" shapeId="0" xr:uid="{44EDF7F3-4D8E-4779-B951-AFE39DDD091C}">
      <text>
        <r>
          <rPr>
            <b/>
            <sz val="9"/>
            <color indexed="81"/>
            <rFont val="Segoe UI"/>
            <family val="2"/>
          </rPr>
          <t>Alexandrowa, Daniela:</t>
        </r>
        <r>
          <rPr>
            <sz val="9"/>
            <color indexed="81"/>
            <rFont val="Segoe UI"/>
            <family val="2"/>
          </rPr>
          <t xml:space="preserve">
calculated price: TOTAL Costs/act. VOLUME</t>
        </r>
      </text>
    </comment>
    <comment ref="K58" authorId="0" shapeId="0" xr:uid="{98073195-012E-46BD-922F-3636D78D9E9E}">
      <text>
        <r>
          <rPr>
            <b/>
            <sz val="9"/>
            <color indexed="81"/>
            <rFont val="Segoe UI"/>
            <family val="2"/>
          </rPr>
          <t>Alexandrowa, Daniela:</t>
        </r>
        <r>
          <rPr>
            <sz val="9"/>
            <color indexed="81"/>
            <rFont val="Segoe UI"/>
            <family val="2"/>
          </rPr>
          <t xml:space="preserve">
calculated price: TOTAL Costs/act. VOLUME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6" authorId="0" shapeId="0" xr:uid="{35E7353A-D258-416F-9A66-BA05F1A3E926}">
      <text>
        <r>
          <rPr>
            <b/>
            <sz val="9"/>
            <color indexed="81"/>
            <rFont val="Segoe UI"/>
            <family val="2"/>
          </rPr>
          <t>Alexandrowa, Daniela:</t>
        </r>
        <r>
          <rPr>
            <sz val="9"/>
            <color indexed="81"/>
            <rFont val="Segoe UI"/>
            <family val="2"/>
          </rPr>
          <t xml:space="preserve">
the volume which has been reached during the discount period</t>
        </r>
      </text>
    </comment>
    <comment ref="G36" authorId="0" shapeId="0" xr:uid="{812602EA-342D-4258-8699-0363C701B907}">
      <text>
        <r>
          <rPr>
            <b/>
            <sz val="9"/>
            <color indexed="81"/>
            <rFont val="Segoe UI"/>
            <family val="2"/>
          </rPr>
          <t>Alexandrowa, Daniela:</t>
        </r>
        <r>
          <rPr>
            <sz val="9"/>
            <color indexed="81"/>
            <rFont val="Segoe UI"/>
            <family val="2"/>
          </rPr>
          <t xml:space="preserve">
actual costs: information is coming from TAP files</t>
        </r>
      </text>
    </comment>
    <comment ref="H36" authorId="0" shapeId="0" xr:uid="{874143EF-0850-4BA0-B7CE-D73326A07BE1}">
      <text>
        <r>
          <rPr>
            <b/>
            <sz val="9"/>
            <color indexed="81"/>
            <rFont val="Segoe UI"/>
            <family val="2"/>
          </rPr>
          <t>Alexandrowa, Daniela:</t>
        </r>
        <r>
          <rPr>
            <sz val="9"/>
            <color indexed="81"/>
            <rFont val="Segoe UI"/>
            <family val="2"/>
          </rPr>
          <t xml:space="preserve">
calculated price: TOTAL Costs/act. VOLUME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2" authorId="0" shapeId="0" xr:uid="{F34EBB60-2C4A-4479-B210-55284F96DCD5}">
      <text>
        <r>
          <rPr>
            <b/>
            <sz val="9"/>
            <color indexed="81"/>
            <rFont val="Segoe UI"/>
            <family val="2"/>
          </rPr>
          <t>Alexandrowa, Daniela:</t>
        </r>
        <r>
          <rPr>
            <sz val="9"/>
            <color indexed="81"/>
            <rFont val="Segoe UI"/>
            <family val="2"/>
          </rPr>
          <t xml:space="preserve">
the volume which has been reached during the discount period</t>
        </r>
      </text>
    </comment>
    <comment ref="I32" authorId="0" shapeId="0" xr:uid="{8619E7A6-FCD0-46D6-AC46-A38F7C061DC8}">
      <text>
        <r>
          <rPr>
            <b/>
            <sz val="9"/>
            <color indexed="81"/>
            <rFont val="Segoe UI"/>
            <family val="2"/>
          </rPr>
          <t>Alexandrowa, Daniela:</t>
        </r>
        <r>
          <rPr>
            <sz val="9"/>
            <color indexed="81"/>
            <rFont val="Segoe UI"/>
            <family val="2"/>
          </rPr>
          <t xml:space="preserve">
actual costs: information is coming from TAP files</t>
        </r>
      </text>
    </comment>
    <comment ref="J32" authorId="0" shapeId="0" xr:uid="{D10778D8-D182-4397-920E-85724801E90B}">
      <text>
        <r>
          <rPr>
            <b/>
            <sz val="9"/>
            <color indexed="81"/>
            <rFont val="Segoe UI"/>
            <family val="2"/>
          </rPr>
          <t>Alexandrowa, Daniela:</t>
        </r>
        <r>
          <rPr>
            <sz val="9"/>
            <color indexed="81"/>
            <rFont val="Segoe UI"/>
            <family val="2"/>
          </rPr>
          <t xml:space="preserve">
calculated price: TOTAL Costs/act. VOLUME</t>
        </r>
      </text>
    </comment>
    <comment ref="C46" authorId="0" shapeId="0" xr:uid="{37A5CAF2-C93A-4E66-BDB6-CF4F80795DC6}">
      <text>
        <r>
          <rPr>
            <b/>
            <sz val="9"/>
            <color indexed="81"/>
            <rFont val="Segoe UI"/>
            <family val="2"/>
          </rPr>
          <t>Alexandrowa, Daniela:</t>
        </r>
        <r>
          <rPr>
            <sz val="9"/>
            <color indexed="81"/>
            <rFont val="Segoe UI"/>
            <family val="2"/>
          </rPr>
          <t xml:space="preserve">
the volume which has been reached during the discount period</t>
        </r>
      </text>
    </comment>
    <comment ref="I46" authorId="0" shapeId="0" xr:uid="{16CE5120-DF75-45A6-BCAB-2F293BA958CA}">
      <text>
        <r>
          <rPr>
            <b/>
            <sz val="9"/>
            <color indexed="81"/>
            <rFont val="Segoe UI"/>
            <family val="2"/>
          </rPr>
          <t>Alexandrowa, Daniela:</t>
        </r>
        <r>
          <rPr>
            <sz val="9"/>
            <color indexed="81"/>
            <rFont val="Segoe UI"/>
            <family val="2"/>
          </rPr>
          <t xml:space="preserve">
actual costs: information is coming from TAP files</t>
        </r>
      </text>
    </comment>
    <comment ref="J46" authorId="0" shapeId="0" xr:uid="{71DC45D7-2E10-424A-B450-E0DDE70422D2}">
      <text>
        <r>
          <rPr>
            <b/>
            <sz val="9"/>
            <color indexed="81"/>
            <rFont val="Segoe UI"/>
            <family val="2"/>
          </rPr>
          <t>Alexandrowa, Daniela:</t>
        </r>
        <r>
          <rPr>
            <sz val="9"/>
            <color indexed="81"/>
            <rFont val="Segoe UI"/>
            <family val="2"/>
          </rPr>
          <t xml:space="preserve">
calculated price: TOTAL Costs/act. VOLUME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Alexandrowa, Daniela</author>
  </authors>
  <commentList>
    <comment ref="C32" authorId="0" shapeId="0" xr:uid="{55BEF50B-9CE0-4A2C-A2DD-B4A488B395FE}">
      <text>
        <r>
          <rPr>
            <b/>
            <sz val="9"/>
            <color indexed="81"/>
            <rFont val="Segoe UI"/>
            <family val="2"/>
          </rPr>
          <t>Alexandrowa, Daniela:</t>
        </r>
        <r>
          <rPr>
            <sz val="9"/>
            <color indexed="81"/>
            <rFont val="Segoe UI"/>
            <family val="2"/>
          </rPr>
          <t xml:space="preserve">
the volume which has been reached during the discount period</t>
        </r>
      </text>
    </comment>
    <comment ref="I32" authorId="0" shapeId="0" xr:uid="{1177872E-94C6-49D3-B008-A4466895B17B}">
      <text>
        <r>
          <rPr>
            <b/>
            <sz val="9"/>
            <color indexed="81"/>
            <rFont val="Segoe UI"/>
            <family val="2"/>
          </rPr>
          <t>Alexandrowa, Daniela:</t>
        </r>
        <r>
          <rPr>
            <sz val="9"/>
            <color indexed="81"/>
            <rFont val="Segoe UI"/>
            <family val="2"/>
          </rPr>
          <t xml:space="preserve">
actual costs: information is coming from TAP files</t>
        </r>
      </text>
    </comment>
    <comment ref="J32" authorId="0" shapeId="0" xr:uid="{68CAFF23-EC33-4603-A1FF-F9930DAE42F4}">
      <text>
        <r>
          <rPr>
            <b/>
            <sz val="9"/>
            <color indexed="81"/>
            <rFont val="Segoe UI"/>
            <family val="2"/>
          </rPr>
          <t>Alexandrowa, Daniela:</t>
        </r>
        <r>
          <rPr>
            <sz val="9"/>
            <color indexed="81"/>
            <rFont val="Segoe UI"/>
            <family val="2"/>
          </rPr>
          <t xml:space="preserve">
calculated price: TOTAL Costs/act. VOLUME</t>
        </r>
      </text>
    </comment>
    <comment ref="C54" authorId="0" shapeId="0" xr:uid="{3ED86A6A-2664-414F-8D7C-A82FC02B6911}">
      <text>
        <r>
          <rPr>
            <b/>
            <sz val="9"/>
            <color indexed="81"/>
            <rFont val="Segoe UI"/>
            <family val="2"/>
          </rPr>
          <t>Alexandrowa, Daniela:</t>
        </r>
        <r>
          <rPr>
            <sz val="9"/>
            <color indexed="81"/>
            <rFont val="Segoe UI"/>
            <family val="2"/>
          </rPr>
          <t xml:space="preserve">
the volume which has been reached during the discount period</t>
        </r>
      </text>
    </comment>
    <comment ref="I54" authorId="0" shapeId="0" xr:uid="{1004A711-6E94-4407-BD61-DAC2E20A72AB}">
      <text>
        <r>
          <rPr>
            <b/>
            <sz val="9"/>
            <color indexed="81"/>
            <rFont val="Segoe UI"/>
            <family val="2"/>
          </rPr>
          <t>Alexandrowa, Daniela:</t>
        </r>
        <r>
          <rPr>
            <sz val="9"/>
            <color indexed="81"/>
            <rFont val="Segoe UI"/>
            <family val="2"/>
          </rPr>
          <t xml:space="preserve">
actual costs: information is coming from TAP files</t>
        </r>
      </text>
    </comment>
    <comment ref="J54" authorId="0" shapeId="0" xr:uid="{15500585-48FD-476A-9C25-9FB7C0EE49A5}">
      <text>
        <r>
          <rPr>
            <b/>
            <sz val="9"/>
            <color indexed="81"/>
            <rFont val="Segoe UI"/>
            <family val="2"/>
          </rPr>
          <t>Alexandrowa, Daniela:</t>
        </r>
        <r>
          <rPr>
            <sz val="9"/>
            <color indexed="81"/>
            <rFont val="Segoe UI"/>
            <family val="2"/>
          </rPr>
          <t xml:space="preserve">
calculated price: TOTAL Costs/act. VOLUME</t>
        </r>
      </text>
    </comment>
  </commentList>
</comments>
</file>

<file path=xl/sharedStrings.xml><?xml version="1.0" encoding="utf-8"?>
<sst xmlns="http://schemas.openxmlformats.org/spreadsheetml/2006/main" count="818" uniqueCount="286">
  <si>
    <t>Baseline1</t>
  </si>
  <si>
    <t>Baseline2</t>
  </si>
  <si>
    <t>Baseline3</t>
  </si>
  <si>
    <t>VOLUME</t>
  </si>
  <si>
    <t>PRICE</t>
  </si>
  <si>
    <t>Discount model can be used for the following services:</t>
  </si>
  <si>
    <t>MOC</t>
  </si>
  <si>
    <t>MTC</t>
  </si>
  <si>
    <t>SMS</t>
  </si>
  <si>
    <t>DATA</t>
  </si>
  <si>
    <t>DISCOUNT MODEL</t>
  </si>
  <si>
    <t>act. Volume</t>
  </si>
  <si>
    <t>disc. price</t>
  </si>
  <si>
    <t>aver. TAP charge</t>
  </si>
  <si>
    <t>discount to recieve</t>
  </si>
  <si>
    <t>outbound</t>
  </si>
  <si>
    <t>inbound</t>
  </si>
  <si>
    <t>LBI</t>
  </si>
  <si>
    <t>OUTBOUND</t>
  </si>
  <si>
    <t>INBOUND</t>
  </si>
  <si>
    <t>DIRECTION</t>
  </si>
  <si>
    <t>Baseline</t>
  </si>
  <si>
    <t>Discount Model</t>
  </si>
  <si>
    <t>Discount Model:</t>
  </si>
  <si>
    <t>Back-To-First</t>
  </si>
  <si>
    <t>BackToFirst</t>
  </si>
  <si>
    <t>Local</t>
  </si>
  <si>
    <t>BalancedUnbalanced</t>
  </si>
  <si>
    <t>balanced</t>
  </si>
  <si>
    <t>unbalanced</t>
  </si>
  <si>
    <t>PRICE 
outbound</t>
  </si>
  <si>
    <t>PRICE 
inbound</t>
  </si>
  <si>
    <t>x</t>
  </si>
  <si>
    <t>y</t>
  </si>
  <si>
    <t>Example 1:</t>
  </si>
  <si>
    <t>Calculation of Discount</t>
  </si>
  <si>
    <t>Example 2:</t>
  </si>
  <si>
    <t>Example 3:</t>
  </si>
  <si>
    <t>Home</t>
  </si>
  <si>
    <t>EU28</t>
  </si>
  <si>
    <t>RoW</t>
  </si>
  <si>
    <t>Satelite &amp; Premium</t>
  </si>
  <si>
    <t>Free of Charge</t>
  </si>
  <si>
    <t>TOTAL min/aver. price</t>
  </si>
  <si>
    <t>BASIC Discount Models</t>
  </si>
  <si>
    <t>Flat IOT</t>
  </si>
  <si>
    <t>= empty excluded from discount = TAP rate applies</t>
  </si>
  <si>
    <t>MOC min</t>
  </si>
  <si>
    <t>Satelite &amp; Premium (min)</t>
  </si>
  <si>
    <t>Free of Charge (min</t>
  </si>
  <si>
    <t>Flat</t>
  </si>
  <si>
    <t>Baselines</t>
  </si>
  <si>
    <t>Description</t>
  </si>
  <si>
    <t>Required Input</t>
  </si>
  <si>
    <t>Calculation required</t>
  </si>
  <si>
    <t>No baseline</t>
  </si>
  <si>
    <t>A fixed IOT for the respect. MOC destination is agreed</t>
  </si>
  <si>
    <t>Destination</t>
  </si>
  <si>
    <t>see calculation example below</t>
  </si>
  <si>
    <t>Example a):</t>
  </si>
  <si>
    <t>Example b):</t>
  </si>
  <si>
    <t>Example c):</t>
  </si>
  <si>
    <t>up to multiple baselines (1,2,3 …)</t>
  </si>
  <si>
    <t>excl. Disc.</t>
  </si>
  <si>
    <t>--&gt; can be excluded or included to the discount, Account Manager needs to give a clear indication what is applicable</t>
  </si>
  <si>
    <t>Note: Free of charge calls are considered in this case to the "normal" traffic.</t>
  </si>
  <si>
    <t>"excl. Disc."</t>
  </si>
  <si>
    <t xml:space="preserve">MOC - Mobile Originated Call = outgoing call </t>
  </si>
  <si>
    <t>Other_Balance</t>
  </si>
  <si>
    <t>Missing_Information</t>
  </si>
  <si>
    <t>e.g. if a DEUD1 calls back to Germany (mobile &amp; fixed line) this is a home call, if a POL02 customer calls to Germany this is a EU28 call</t>
  </si>
  <si>
    <t>Call within the country where the roamer is (mobile &amp; fixed calls)</t>
  </si>
  <si>
    <t>all remaining countries</t>
  </si>
  <si>
    <t>MTC - Mobile Terminated Call = incoming call</t>
  </si>
  <si>
    <t>SMS Mobile Originated - outgoing SMS</t>
  </si>
  <si>
    <t xml:space="preserve">Human </t>
  </si>
  <si>
    <t>M2M</t>
  </si>
  <si>
    <t>VOLTE</t>
  </si>
  <si>
    <t>needs to be defined</t>
  </si>
  <si>
    <t>based on TADIG Code</t>
  </si>
  <si>
    <t>based on APN</t>
  </si>
  <si>
    <t>based on IMSI Range</t>
  </si>
  <si>
    <t>EU28-countries</t>
  </si>
  <si>
    <t>EEA-countries</t>
  </si>
  <si>
    <t>RoW-countries</t>
  </si>
  <si>
    <t>Austria</t>
  </si>
  <si>
    <t>Belgium</t>
  </si>
  <si>
    <t>Bulgaria</t>
  </si>
  <si>
    <t>Croatia</t>
  </si>
  <si>
    <t>Cyprus</t>
  </si>
  <si>
    <t>Czech Republic</t>
  </si>
  <si>
    <t>Denmark</t>
  </si>
  <si>
    <t>Estonia</t>
  </si>
  <si>
    <t>Finland</t>
  </si>
  <si>
    <t>France</t>
  </si>
  <si>
    <t>Germany</t>
  </si>
  <si>
    <t>Gibraltar</t>
  </si>
  <si>
    <t>Greece</t>
  </si>
  <si>
    <t>Hungary</t>
  </si>
  <si>
    <t>Ireland</t>
  </si>
  <si>
    <t>Italy</t>
  </si>
  <si>
    <t>Latvia</t>
  </si>
  <si>
    <t>Lithuania</t>
  </si>
  <si>
    <t>Luxembourg</t>
  </si>
  <si>
    <t>Malta</t>
  </si>
  <si>
    <t>Netherlands</t>
  </si>
  <si>
    <t>Poland</t>
  </si>
  <si>
    <t>Portugal</t>
  </si>
  <si>
    <t>Romania</t>
  </si>
  <si>
    <t>Slovak Republic</t>
  </si>
  <si>
    <t>Slovenia</t>
  </si>
  <si>
    <t>Spain</t>
  </si>
  <si>
    <t>Sweden</t>
  </si>
  <si>
    <t>UK</t>
  </si>
  <si>
    <t>Iceland</t>
  </si>
  <si>
    <t>Liechtenstein</t>
  </si>
  <si>
    <t>Norway</t>
  </si>
  <si>
    <t>Explantion</t>
  </si>
  <si>
    <t>green/yellow/red</t>
  </si>
  <si>
    <t>green=discount model in use for indicated service, yellow = unusual, red = discount modelnot in use for that service</t>
  </si>
  <si>
    <t>TAX</t>
  </si>
  <si>
    <t>incl. TAX</t>
  </si>
  <si>
    <t>excl. TAX</t>
  </si>
  <si>
    <t>commitment</t>
  </si>
  <si>
    <t>Data</t>
  </si>
  <si>
    <t>(b/u)</t>
  </si>
  <si>
    <t>Disc. Currency</t>
  </si>
  <si>
    <t>EUR</t>
  </si>
  <si>
    <t>USD</t>
  </si>
  <si>
    <t>Specification: roaming services</t>
  </si>
  <si>
    <t>Specification: charging increments per service</t>
  </si>
  <si>
    <t>1 kb</t>
  </si>
  <si>
    <t>10 kb</t>
  </si>
  <si>
    <t>100 kb</t>
  </si>
  <si>
    <t>1 MB</t>
  </si>
  <si>
    <t>1 sec</t>
  </si>
  <si>
    <t>60 sec</t>
  </si>
  <si>
    <t>30 sec</t>
  </si>
  <si>
    <t>AA14</t>
  </si>
  <si>
    <t>per SMS</t>
  </si>
  <si>
    <t>Future Challenge for setting up discount calculation logic:</t>
  </si>
  <si>
    <t>Shown results are excl. S&amp;P, Free of Charge</t>
  </si>
  <si>
    <t>= Account Manager needs to indicate if included or excluded (=TAP rate applies) from disc., if included than RoW prices are applicable.</t>
  </si>
  <si>
    <t>special attention:
VOICE - MOC</t>
  </si>
  <si>
    <t>calculations results needs to be shown per DTAG affiliate &amp; partner towards the contracting party (TADIG level)</t>
  </si>
  <si>
    <t>Distribution to DTAG Entity</t>
  </si>
  <si>
    <t>TOTAL TAP charges</t>
  </si>
  <si>
    <t>aver. TAP charge per unit</t>
  </si>
  <si>
    <t>Balanced Volume</t>
  </si>
  <si>
    <t>Unbalanced Volume</t>
  </si>
  <si>
    <t>discounted price</t>
  </si>
  <si>
    <t>BackToFirst1</t>
  </si>
  <si>
    <t>BackToFirst2</t>
  </si>
  <si>
    <t>BackToFirst3</t>
  </si>
  <si>
    <t>Example 4:</t>
  </si>
  <si>
    <t>BaselineBackToFirst</t>
  </si>
  <si>
    <t>Calculation
Prio</t>
  </si>
  <si>
    <t>see calculation example below
per NatCo: Discount = usage * (TAP-IOT - Disc. IOT)
special attention on MOC calculation (see Example 2)</t>
  </si>
  <si>
    <t>see calculation example below
per NatCo: Discount = usage destination* (TAP-IOT-destination - Disc. IOT-destination)</t>
  </si>
  <si>
    <t>LBI = Local-BackHome-International</t>
  </si>
  <si>
    <t>SendOrPay-Commitment</t>
  </si>
  <si>
    <t>AMOUNT</t>
  </si>
  <si>
    <t>SoP-Volume Commitment</t>
  </si>
  <si>
    <t>Baseline 2</t>
  </si>
  <si>
    <t>example 1.1.</t>
  </si>
  <si>
    <t>example 1.2.</t>
  </si>
  <si>
    <t>average disc. IOT</t>
  </si>
  <si>
    <t>SoP-Volume Commitment reached: YES/NO</t>
  </si>
  <si>
    <t>aver. discounted costs</t>
  </si>
  <si>
    <t>garanteeed amount</t>
  </si>
  <si>
    <t>net amount to pay</t>
  </si>
  <si>
    <r>
      <t xml:space="preserve">SoP </t>
    </r>
    <r>
      <rPr>
        <u/>
        <sz val="11"/>
        <color theme="1"/>
        <rFont val="Calibri"/>
        <family val="2"/>
        <scheme val="minor"/>
      </rPr>
      <t>REVENUE</t>
    </r>
    <r>
      <rPr>
        <sz val="11"/>
        <color theme="1"/>
        <rFont val="Calibri"/>
        <family val="2"/>
        <scheme val="minor"/>
      </rPr>
      <t xml:space="preserve"> Commitment + combination of Baseline1,2,3 model</t>
    </r>
  </si>
  <si>
    <r>
      <t xml:space="preserve">SoP </t>
    </r>
    <r>
      <rPr>
        <u/>
        <sz val="11"/>
        <color theme="1"/>
        <rFont val="Calibri"/>
        <family val="2"/>
        <scheme val="minor"/>
      </rPr>
      <t>VOLUME</t>
    </r>
    <r>
      <rPr>
        <sz val="11"/>
        <color theme="1"/>
        <rFont val="Calibri"/>
        <family val="2"/>
        <scheme val="minor"/>
      </rPr>
      <t xml:space="preserve"> Commitment + combination of Baseline1,2,3 model</t>
    </r>
  </si>
  <si>
    <t>final discounted IOT</t>
  </si>
  <si>
    <t>SendOrPay Commitment</t>
  </si>
  <si>
    <t>SoP</t>
  </si>
  <si>
    <t>revenue Commitment</t>
  </si>
  <si>
    <t>revenueCommitment</t>
  </si>
  <si>
    <r>
      <rPr>
        <b/>
        <sz val="11"/>
        <color theme="1"/>
        <rFont val="Calibri"/>
        <family val="2"/>
        <scheme val="minor"/>
      </rPr>
      <t>VOLUME</t>
    </r>
    <r>
      <rPr>
        <sz val="11"/>
        <color theme="1"/>
        <rFont val="Calibri"/>
        <family val="2"/>
        <scheme val="minor"/>
      </rPr>
      <t xml:space="preserve"> COMMITMENT</t>
    </r>
  </si>
  <si>
    <r>
      <rPr>
        <b/>
        <sz val="11"/>
        <color theme="1"/>
        <rFont val="Calibri"/>
        <family val="2"/>
        <scheme val="minor"/>
      </rPr>
      <t>VALUE</t>
    </r>
    <r>
      <rPr>
        <sz val="11"/>
        <color theme="1"/>
        <rFont val="Calibri"/>
        <family val="2"/>
        <scheme val="minor"/>
      </rPr>
      <t xml:space="preserve"> COMMITMENT</t>
    </r>
  </si>
  <si>
    <t>VALUE COMMITMENT</t>
  </si>
  <si>
    <t>ALL SERVICES</t>
  </si>
  <si>
    <r>
      <t xml:space="preserve">SERVICE: </t>
    </r>
    <r>
      <rPr>
        <b/>
        <u/>
        <sz val="11"/>
        <color theme="1"/>
        <rFont val="Calibri"/>
        <family val="2"/>
        <scheme val="minor"/>
      </rPr>
      <t>X</t>
    </r>
  </si>
  <si>
    <t xml:space="preserve">The baseline for the contract is a revenue commitment over all the services. </t>
  </si>
  <si>
    <t>Consider only those voice min in the calculation, which are defined as discountable in the contract.
Account Manager needs to give information how Satellite&amp;Premium,  Free of Charge calls, Special Destinations, High Cost Destinations will be handled.</t>
  </si>
  <si>
    <r>
      <rPr>
        <u/>
        <sz val="11"/>
        <color theme="1"/>
        <rFont val="Calibri"/>
        <family val="2"/>
        <scheme val="minor"/>
      </rPr>
      <t>REVENUE</t>
    </r>
    <r>
      <rPr>
        <sz val="11"/>
        <color theme="1"/>
        <rFont val="Calibri"/>
        <family val="2"/>
        <scheme val="minor"/>
      </rPr>
      <t xml:space="preserve"> Commitment over all SERVICES</t>
    </r>
  </si>
  <si>
    <t>revenue/costs</t>
  </si>
  <si>
    <t>PriceCap</t>
  </si>
  <si>
    <t>price cap</t>
  </si>
  <si>
    <r>
      <rPr>
        <u/>
        <sz val="9"/>
        <color theme="1"/>
        <rFont val="Calibri"/>
        <family val="2"/>
        <scheme val="minor"/>
      </rPr>
      <t>FURTHER EXPLANATION</t>
    </r>
    <r>
      <rPr>
        <sz val="9"/>
        <color theme="1"/>
        <rFont val="Calibri"/>
        <family val="2"/>
        <scheme val="minor"/>
      </rPr>
      <t xml:space="preserve">
- </t>
    </r>
  </si>
  <si>
    <t>baseline</t>
  </si>
  <si>
    <t>bal-unb</t>
  </si>
  <si>
    <t>average disc. IOT: baseline</t>
  </si>
  <si>
    <t>average disc. IOT: incl price gap</t>
  </si>
  <si>
    <t>SMS from roaming partner</t>
  </si>
  <si>
    <t>Volumes</t>
  </si>
  <si>
    <t>Commitment</t>
  </si>
  <si>
    <t xml:space="preserve">actual traffic </t>
  </si>
  <si>
    <t>Total units</t>
  </si>
  <si>
    <t>revenue commit.</t>
  </si>
  <si>
    <t>incremental price</t>
  </si>
  <si>
    <t>final discounted price</t>
  </si>
  <si>
    <t>volumes</t>
  </si>
  <si>
    <t>price within commitment</t>
  </si>
  <si>
    <t>discounted charges</t>
  </si>
  <si>
    <t>VOLUME per service</t>
  </si>
  <si>
    <t>- NBIOT, VOLTE still needs to be considered</t>
  </si>
  <si>
    <t>revenue Commitment &amp; usage caps</t>
  </si>
  <si>
    <t>revenueCommitment_UsageCaps</t>
  </si>
  <si>
    <r>
      <rPr>
        <u/>
        <sz val="9"/>
        <color theme="1"/>
        <rFont val="Calibri"/>
        <family val="2"/>
        <scheme val="minor"/>
      </rPr>
      <t>FURTHER EXPLANATION</t>
    </r>
    <r>
      <rPr>
        <sz val="9"/>
        <color theme="1"/>
        <rFont val="Calibri"/>
        <family val="2"/>
        <scheme val="minor"/>
      </rPr>
      <t xml:space="preserve">
- LBI = Local Back Home International 
- Depending of the call is going back home or staying local or going to EU or going to RoW a certain price point is agreed with the partner.
- Satelite &amp; Premium calls are normally excluded of a discount and AA14 rate applies (TAP rate)
- Furthermore there are Free of Charge calls, e.g., emergency calls, checking credit balance ... Those calls are zero rated except something different has been agreed in teh discount agreement.
- The prices can be different for inbound and outbound
</t>
    </r>
    <r>
      <rPr>
        <b/>
        <sz val="9"/>
        <color rgb="FFFF0000"/>
        <rFont val="Calibri"/>
        <family val="2"/>
        <scheme val="minor"/>
      </rPr>
      <t>- ability to define LBI: (1): Local-BackHome-International, (2) EU/EEA-International, (3)EU-International, (3)BackHome-Local-EU-International, (4)BackHome-Local-EU/EEA-International</t>
    </r>
  </si>
  <si>
    <t>A fixed IOT for the respective service is agreed</t>
  </si>
  <si>
    <r>
      <rPr>
        <u/>
        <sz val="9"/>
        <color theme="1"/>
        <rFont val="Calibri"/>
        <family val="2"/>
        <scheme val="minor"/>
      </rPr>
      <t>FURTHER EXPLANATION</t>
    </r>
    <r>
      <rPr>
        <sz val="9"/>
        <color theme="1"/>
        <rFont val="Calibri"/>
        <family val="2"/>
        <scheme val="minor"/>
      </rPr>
      <t xml:space="preserve">
- The are no conditions applicable: flat discounted IOT
- No matter how much traffic is send, there is only one discounted price point. The price might only change (higher) if a SoP or revenue commitment is not reached.
- Note: for MOC there should be given the indication if Satelite&amp; Premium / Free of Charge /Special Destinations / High Cost Destinationsare included or excluded from the Flat IOT.</t>
    </r>
  </si>
  <si>
    <t>Satelite&amp; Premium / Free of Charge /Special Destinations / High Cost Destination are included as nothing else is mentioned</t>
  </si>
  <si>
    <t>actual Volume</t>
  </si>
  <si>
    <t>average TAP charge</t>
  </si>
  <si>
    <t>-A fixed IOT for the entire usage within a baseline is agreed
-For each baseline a different discounted IOT applies
- Normally not more than 3 baselines are agreed in a discount agreement</t>
  </si>
  <si>
    <t>up to multiple BackToFirstBaselines (1,2,3 …) can apply</t>
  </si>
  <si>
    <t>-Depending on the baseline which has been reached, the discounted price of that baseline applies for the complete traffic!
- Normally not more than 3 baselines are agreed in a disc. agreement.</t>
  </si>
  <si>
    <t>Combination of the Baseline &amp; BackToFirst unit discount model</t>
  </si>
  <si>
    <t>-A fixed discounted IOT for the entire usage within a baseline is agreed (there can be several Baselines1,2,3).
-There is an interest to reach the last baseline step (BackToFirst), as the price applicable there will be than applied to the complete traffic. But only if the last Baseline step (BackToFirst) has been reached.
- Normally not more than 3 baselines are agreed plus the BackToFirst step</t>
  </si>
  <si>
    <t>Discounted IOT per applicable Baseline (1,2,3) and the discounted IOT applicable for BackToFirst(1)</t>
  </si>
  <si>
    <t>- Consider only those voice min/sms/data in the calculation, which are defined as discountable in the contract
- Account Manager needs to give an information for MOC how Satellite&amp;Premium,  Free of Charge calls, Special Destinations, High Cost Destinations will be handled</t>
  </si>
  <si>
    <t>- Consider only those voice min/sms/mb in the calculation, which are defined as discountable in the contract
- Account Manager needs to give an information for MOC how Satellite&amp;Premium,  Free of Charge calls, Special Destinations, High Cost Destinations will be handled</t>
  </si>
  <si>
    <t>- Consider only those voice min/sms/mb in the calculation, which are defined as discountable in the contract- 
- Account Manager needs to give an information for MOC how Satellite&amp;Premium,  Free of Charge calls, Special Destinations, High Cost Destinations will be handled</t>
  </si>
  <si>
    <t>- Consider only those voice min in the calculation, which are defined as discountable in the contract
- Account Manager needs to give an information for MOC how Satellite&amp;Premium,  Free of Charge calls, Special Destinations, High Cost Destinations will be handled</t>
  </si>
  <si>
    <t>-Consider only those voice min in the calculation, which are defined as discountable in the contract
- Account Manager needs to give an information for MOC how Satellite&amp;Premium,  Free of Charge calls, Special Destinations, High Cost Destinations will be handled</t>
  </si>
  <si>
    <t>Balanced traffic is the baseline for outbound&amp;inbound actual traffic.</t>
  </si>
  <si>
    <t xml:space="preserve">- For the "balanced outbound" = "balanced inbound" traffic price X applies and the party who has been sending more traffic (=unbalanced traffic) the price Y is applicable </t>
  </si>
  <si>
    <t>Discounted IOT applicable for balanced &amp; unbalanced traffic</t>
  </si>
  <si>
    <t>Discounted IOT per applicable BackToFirst Baseline for inbound/outbound volume</t>
  </si>
  <si>
    <r>
      <rPr>
        <u/>
        <sz val="9"/>
        <color theme="1"/>
        <rFont val="Calibri"/>
        <family val="2"/>
        <scheme val="minor"/>
      </rPr>
      <t>FURTHER EXPLANATION:</t>
    </r>
    <r>
      <rPr>
        <sz val="9"/>
        <color theme="1"/>
        <rFont val="Calibri"/>
        <family val="2"/>
        <scheme val="minor"/>
      </rPr>
      <t xml:space="preserve">
- The growth based discount model considers dedicated baselines and/or growth steps for one or both parties for one or all roaming services
- Within a baseline a certain price applies
- The baseline steps can be different for outbound and inbound volumes
- Note: Negotiator sometimes negotiate more than 3 Baselines, but they know which baseline they will reach most probably so they could group baselines together.
 </t>
    </r>
  </si>
  <si>
    <r>
      <rPr>
        <u/>
        <sz val="9"/>
        <color theme="1"/>
        <rFont val="Calibri"/>
        <family val="2"/>
        <scheme val="minor"/>
      </rPr>
      <t>FURTHER EXPLANATION:</t>
    </r>
    <r>
      <rPr>
        <sz val="9"/>
        <color theme="1"/>
        <rFont val="Calibri"/>
        <family val="2"/>
        <scheme val="minor"/>
      </rPr>
      <t xml:space="preserve">
- Comination of Baseline &amp; BackToFirst Discount Model.  The discount model gives a special incentivation if the last Baseline-BackToFirst1 is reached
- The last step BackToFirst1 will incentivate the party in this way that all the traffic is discounted to price applicable in BackToFirst. All the other Baseline1,2,3 steps give only a certain price within the Baseline
- The baseline steps can be different for outbound and inbound volumes
- Note: Negotiator sometimes negotiate more than 3 Baselines, but they know which baseline they will reach most probably so they could group baselines together</t>
    </r>
  </si>
  <si>
    <t>Calculations results needs to be shown per DTAG Affiliate &amp; Partner towards the contracting Party (TADIG level)</t>
  </si>
  <si>
    <t>SERVICE: DATA</t>
  </si>
  <si>
    <t>SERVICE: MOC</t>
  </si>
  <si>
    <t>balanced traffic</t>
  </si>
  <si>
    <t>unbalanced traffic</t>
  </si>
  <si>
    <t>Satellite &amp; Premium</t>
  </si>
  <si>
    <t>Volume - Satellite &amp; Premium</t>
  </si>
  <si>
    <t>Costs - Satellite &amp; Premium</t>
  </si>
  <si>
    <t>TAP price: for Satellite &amp; Premium</t>
  </si>
  <si>
    <t>TAP price: incl. free of charge (excl. Sat&amp;Prem)</t>
  </si>
  <si>
    <t>average MOC TAP price</t>
  </si>
  <si>
    <t xml:space="preserve">Discount Model is used in combination with Baseline, BalancedUnbalanced discount models. </t>
  </si>
  <si>
    <t>Discout IOT for DTAG Group or per Affiliate for outbound and/or inbound</t>
  </si>
  <si>
    <t>Discounted IOT per applicable baseline for outbound/inbound traffic for DTAG Group</t>
  </si>
  <si>
    <t>Lowest possible discount IOT applicable for the DTAG Group</t>
  </si>
  <si>
    <t>Calculations results needs to be shown per DTAG Sffiliate &amp; Partner towards the contracting party (TADIG level)</t>
  </si>
  <si>
    <t>The average discounted price resulting from the Baseline or Balanced Unbalanced discount model can't go below the give price cap. The price cap is indicating the lowest possible price point, which can be achieved.</t>
  </si>
  <si>
    <t>Predefined traffic and revenue is secured. The contracting party garantees to pay the amount committed for a specific service, no matter if the volume/revenue has been reached</t>
  </si>
  <si>
    <t>The baseline for the SendOrPay Commitment can be either a revenue commitment or a volume commitment for a certain service</t>
  </si>
  <si>
    <r>
      <t>The Service for which the SoP Commitment applies and if it is a</t>
    </r>
    <r>
      <rPr>
        <u/>
        <sz val="11"/>
        <color theme="1"/>
        <rFont val="Calibri"/>
        <family val="2"/>
        <scheme val="minor"/>
      </rPr>
      <t xml:space="preserve"> volume</t>
    </r>
    <r>
      <rPr>
        <sz val="11"/>
        <color theme="1"/>
        <rFont val="Calibri"/>
        <family val="2"/>
        <scheme val="minor"/>
      </rPr>
      <t xml:space="preserve"> or </t>
    </r>
    <r>
      <rPr>
        <u/>
        <sz val="11"/>
        <color theme="1"/>
        <rFont val="Calibri"/>
        <family val="2"/>
        <scheme val="minor"/>
      </rPr>
      <t>revenue (€/$) commitment</t>
    </r>
  </si>
  <si>
    <t>SoP-revenue Commitment</t>
  </si>
  <si>
    <t>TOTAL TAP Charge</t>
  </si>
  <si>
    <t>TOTAL TAP charge incl. free of charge calls (excl. Satellite &amp; Premium)</t>
  </si>
  <si>
    <t>SoP: DATA Service</t>
  </si>
  <si>
    <t>Data Service</t>
  </si>
  <si>
    <t>example 2.1.</t>
  </si>
  <si>
    <t>example 2.2.</t>
  </si>
  <si>
    <r>
      <rPr>
        <u/>
        <sz val="9"/>
        <color theme="1"/>
        <rFont val="Calibri"/>
        <family val="2"/>
        <scheme val="minor"/>
      </rPr>
      <t>FURTHER EXPLANATION:</t>
    </r>
    <r>
      <rPr>
        <sz val="9"/>
        <color theme="1"/>
        <rFont val="Calibri"/>
        <family val="2"/>
        <scheme val="minor"/>
      </rPr>
      <t xml:space="preserve">
- Operators have an incentive to send as much as possible traffic, as the price for the TOTAL traffic will be according to the Baseline which has been reached for the complete traffic
- The baseline steps can be different for outbound and inbound volumes
- Note: Negotiators sometimes negotiate more than 3 Baselines, but they know which baseline they will reach most probably so they should indicate those once which are close to reality.</t>
    </r>
  </si>
  <si>
    <r>
      <rPr>
        <u/>
        <sz val="9"/>
        <color theme="1"/>
        <rFont val="Calibri"/>
        <family val="2"/>
        <scheme val="minor"/>
      </rPr>
      <t>FURTHER EXPLANATION:</t>
    </r>
    <r>
      <rPr>
        <sz val="9"/>
        <color theme="1"/>
        <rFont val="Calibri"/>
        <family val="2"/>
        <scheme val="minor"/>
      </rPr>
      <t xml:space="preserve">
- For the balanced traffic both parties will pay the same price x, which can be as well std. IOT (= TAP IOT)
- The party who is sending more traffic will pay for the unbalnced traffic the price y
- Note: It can be possible that the prices differ for outbound and inbound; a possible reason could be the different MTR rates in each country</t>
    </r>
  </si>
  <si>
    <r>
      <rPr>
        <u/>
        <sz val="9"/>
        <color theme="1"/>
        <rFont val="Calibri"/>
        <family val="2"/>
        <scheme val="minor"/>
      </rPr>
      <t>FURTHER EXPLANATION:</t>
    </r>
    <r>
      <rPr>
        <sz val="9"/>
        <color theme="1"/>
        <rFont val="Calibri"/>
        <family val="2"/>
        <scheme val="minor"/>
      </rPr>
      <t xml:space="preserve">
- The baseline for the SendOrPay Commitment can be either a "revenue commitment" or a "volume commitment" for a certain service</t>
    </r>
  </si>
  <si>
    <r>
      <rPr>
        <u/>
        <sz val="9"/>
        <color theme="1"/>
        <rFont val="Calibri"/>
        <family val="2"/>
        <scheme val="minor"/>
      </rPr>
      <t>FURTHER EXPLANATION:</t>
    </r>
    <r>
      <rPr>
        <sz val="9"/>
        <color theme="1"/>
        <rFont val="Calibri"/>
        <family val="2"/>
        <scheme val="minor"/>
      </rPr>
      <t xml:space="preserve">
- Predefined revenue is secured. The usage of all services are counting into reaching the revenue commitment. 
- For each service type (MOC, SMS, Data) a different discount type could apply, e.g., MOC a flat model, SMS  a BalancedUnbalanced and for Data BackToFirst unit.</t>
    </r>
  </si>
  <si>
    <t xml:space="preserve">- Predefined revenue is secured. The usage of all services are counting into reaching the revenue commitment. 
- The contracting party garantees to pay the amount committed: no matter if the amount has been reached or not.
- The comitted amount is seen as a minimum payment.
</t>
  </si>
  <si>
    <t>Value of the committed revenue amount (€/$)</t>
  </si>
  <si>
    <r>
      <rPr>
        <u/>
        <sz val="9"/>
        <color theme="1"/>
        <rFont val="Calibri"/>
        <family val="2"/>
        <scheme val="minor"/>
      </rPr>
      <t>FURTHER EXPLANATION:</t>
    </r>
    <r>
      <rPr>
        <sz val="9"/>
        <color theme="1"/>
        <rFont val="Calibri"/>
        <family val="2"/>
        <scheme val="minor"/>
      </rPr>
      <t xml:space="preserve">
- Negotiated is the total revenue commitment and the allowance per service.
- The account manager needs to define how much of the revenue commitment is put to each service (see calculation below).</t>
    </r>
  </si>
  <si>
    <t>revenue Commitment with usage caps</t>
  </si>
  <si>
    <t>The baseline for the contract is a revenue commitment with a given usage allowance per service (usage caps)</t>
  </si>
  <si>
    <t xml:space="preserve">- Predefined revenue commitment with a cetain usage per service (usage caps)
- If the pre-defined usage is reached (usage caps) within a service the incremental rate will apply
- The comitted value amount is seen as a minimum payment
</t>
  </si>
  <si>
    <t xml:space="preserve">Value of the committed revenue amount and the split per service (%)
</t>
  </si>
  <si>
    <t>included units</t>
  </si>
  <si>
    <t>% defined by account manager, flexibel to change during discount period</t>
  </si>
  <si>
    <t>TAX:</t>
  </si>
  <si>
    <t>TAX calculation</t>
  </si>
  <si>
    <t>Discount</t>
  </si>
  <si>
    <t>Service Price</t>
  </si>
  <si>
    <t>The discounted price is excluding tax</t>
  </si>
  <si>
    <t>discounted Price</t>
  </si>
  <si>
    <t>TAP charge excl. Tax</t>
  </si>
  <si>
    <t>TAP charge incl. Tax</t>
  </si>
  <si>
    <t>discounted price incl. tax</t>
  </si>
  <si>
    <t>Discounted price is tax excluding</t>
  </si>
  <si>
    <t>Discounted price is tax including</t>
  </si>
  <si>
    <t>The discounted price is tax including</t>
  </si>
  <si>
    <r>
      <rPr>
        <b/>
        <sz val="11"/>
        <color rgb="FFFF0000"/>
        <rFont val="Calibri"/>
        <family val="2"/>
        <scheme val="minor"/>
      </rPr>
      <t>Special REQUEREMENT:</t>
    </r>
    <r>
      <rPr>
        <b/>
        <sz val="11"/>
        <color theme="1"/>
        <rFont val="Calibri"/>
        <family val="2"/>
        <scheme val="minor"/>
      </rPr>
      <t xml:space="preserve">
- When prices are excluding tax normally taxes are not considered in the calculation, except and affiliate or partner is oblidged to consider taxes (due to regulation of national regulatory). For DTAG Group &amp; Partners this is the case for T-Mobile Austria.
- Ability to chose in the DealBuilder if taxes should be considered for accruals &amp;settlement: selection possibility "all DTAG Group &amp; Partners" or "only selected members"</t>
    </r>
  </si>
  <si>
    <t xml:space="preserve"> TAX, please pay special attention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</si>
</sst>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 #,##0.00\ &quot;€&quot;_-;\-* #,##0.00\ &quot;€&quot;_-;_-* &quot;-&quot;??\ &quot;€&quot;_-;_-@_-"/>
    <numFmt numFmtId="164" formatCode="#,##0&quot; MB&quot;"/>
    <numFmt numFmtId="165" formatCode="0.0000"/>
    <numFmt numFmtId="166" formatCode="#,##0.00\ &quot;€&quot;"/>
    <numFmt numFmtId="167" formatCode="#,##0.0000\ &quot;€&quot;"/>
    <numFmt numFmtId="168" formatCode="#,##0.0000\ &quot;€&quot;;\-#,##0.0000\ &quot;€&quot;"/>
    <numFmt numFmtId="169" formatCode="#,##0&quot; min&quot;"/>
    <numFmt numFmtId="170" formatCode="_-* #,##0.0000\ &quot;€&quot;_-;\-* #,##0.0000\ &quot;€&quot;_-;_-* &quot;-&quot;????\ &quot;€&quot;_-;_-@_-"/>
    <numFmt numFmtId="174" formatCode="#,##0.0000"/>
    <numFmt numFmtId="175" formatCode="#,##0&quot; SMS&quot;"/>
    <numFmt numFmtId="176" formatCode="0.00000"/>
    <numFmt numFmtId="177" formatCode="0,000&quot; SMS&quot;"/>
    <numFmt numFmtId="178" formatCode="#,##0.000"/>
    <numFmt numFmtId="179" formatCode="_(* #,##0.00_);_(* \(#,##0.00\);_(* &quot;-&quot;??_);_(@_)"/>
    <numFmt numFmtId="182" formatCode="#,##0.000\ &quot;€&quot;"/>
    <numFmt numFmtId="183" formatCode="#,##0.00000\ &quot;€&quot;"/>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u/>
      <sz val="11"/>
      <color theme="1"/>
      <name val="Calibri"/>
      <family val="2"/>
      <scheme val="minor"/>
    </font>
    <font>
      <sz val="9"/>
      <color theme="1"/>
      <name val="Calibri"/>
      <family val="2"/>
      <scheme val="minor"/>
    </font>
    <font>
      <sz val="9"/>
      <color indexed="81"/>
      <name val="Segoe UI"/>
      <family val="2"/>
    </font>
    <font>
      <b/>
      <sz val="9"/>
      <color indexed="81"/>
      <name val="Segoe UI"/>
      <family val="2"/>
    </font>
    <font>
      <u/>
      <sz val="9"/>
      <color theme="1"/>
      <name val="Calibri"/>
      <family val="2"/>
      <scheme val="minor"/>
    </font>
    <font>
      <i/>
      <sz val="9"/>
      <color theme="1"/>
      <name val="Calibri"/>
      <family val="2"/>
      <scheme val="minor"/>
    </font>
    <font>
      <b/>
      <sz val="9"/>
      <color theme="1"/>
      <name val="Calibri"/>
      <family val="2"/>
      <scheme val="minor"/>
    </font>
    <font>
      <b/>
      <sz val="12"/>
      <color theme="0"/>
      <name val="Calibri"/>
      <family val="2"/>
      <scheme val="minor"/>
    </font>
    <font>
      <sz val="12"/>
      <color theme="0"/>
      <name val="Calibri"/>
      <family val="2"/>
      <scheme val="minor"/>
    </font>
    <font>
      <i/>
      <sz val="11"/>
      <color rgb="FFFF0000"/>
      <name val="Calibri"/>
      <family val="2"/>
      <scheme val="minor"/>
    </font>
    <font>
      <u/>
      <sz val="11"/>
      <color theme="10"/>
      <name val="Calibri"/>
      <family val="2"/>
      <scheme val="minor"/>
    </font>
    <font>
      <sz val="8"/>
      <color theme="1"/>
      <name val="Calibri"/>
      <family val="2"/>
      <scheme val="minor"/>
    </font>
    <font>
      <b/>
      <u/>
      <sz val="11"/>
      <color theme="1"/>
      <name val="Calibri"/>
      <family val="2"/>
      <scheme val="minor"/>
    </font>
    <font>
      <b/>
      <sz val="10"/>
      <color theme="1"/>
      <name val="Calibri"/>
      <family val="2"/>
      <scheme val="minor"/>
    </font>
    <font>
      <b/>
      <sz val="11"/>
      <color rgb="FFFF0000"/>
      <name val="Calibri"/>
      <family val="2"/>
      <scheme val="minor"/>
    </font>
    <font>
      <sz val="11"/>
      <color theme="1" tint="0.499984740745262"/>
      <name val="Calibri"/>
      <family val="2"/>
      <scheme val="minor"/>
    </font>
    <font>
      <i/>
      <sz val="11"/>
      <color theme="1" tint="0.499984740745262"/>
      <name val="Calibri"/>
      <family val="2"/>
      <scheme val="minor"/>
    </font>
    <font>
      <i/>
      <sz val="9"/>
      <color theme="1" tint="0.499984740745262"/>
      <name val="Calibri"/>
      <family val="2"/>
      <scheme val="minor"/>
    </font>
    <font>
      <sz val="10"/>
      <name val="Arial"/>
      <family val="2"/>
    </font>
    <font>
      <b/>
      <sz val="9"/>
      <color rgb="FFFF0000"/>
      <name val="Calibri"/>
      <family val="2"/>
      <scheme val="minor"/>
    </font>
  </fonts>
  <fills count="23">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C0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FFFF99"/>
        <bgColor indexed="64"/>
      </patternFill>
    </fill>
    <fill>
      <patternFill patternType="solid">
        <fgColor rgb="FF00206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8" tint="0.59999389629810485"/>
        <bgColor indexed="64"/>
      </patternFill>
    </fill>
  </fills>
  <borders count="82">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hair">
        <color theme="1" tint="0.499984740745262"/>
      </right>
      <top style="thin">
        <color theme="1" tint="0.499984740745262"/>
      </top>
      <bottom style="hair">
        <color theme="1" tint="0.499984740745262"/>
      </bottom>
      <diagonal/>
    </border>
    <border>
      <left style="hair">
        <color theme="1" tint="0.499984740745262"/>
      </left>
      <right style="thin">
        <color theme="1" tint="0.499984740745262"/>
      </right>
      <top style="thin">
        <color theme="1" tint="0.499984740745262"/>
      </top>
      <bottom style="hair">
        <color theme="1" tint="0.499984740745262"/>
      </bottom>
      <diagonal/>
    </border>
    <border>
      <left style="thin">
        <color theme="1" tint="0.499984740745262"/>
      </left>
      <right style="hair">
        <color theme="1" tint="0.499984740745262"/>
      </right>
      <top style="hair">
        <color theme="1" tint="0.499984740745262"/>
      </top>
      <bottom style="hair">
        <color theme="1" tint="0.499984740745262"/>
      </bottom>
      <diagonal/>
    </border>
    <border>
      <left style="hair">
        <color theme="1" tint="0.499984740745262"/>
      </left>
      <right style="thin">
        <color theme="1" tint="0.499984740745262"/>
      </right>
      <top style="hair">
        <color theme="1" tint="0.499984740745262"/>
      </top>
      <bottom style="hair">
        <color theme="1" tint="0.499984740745262"/>
      </bottom>
      <diagonal/>
    </border>
    <border>
      <left style="thin">
        <color theme="1" tint="0.499984740745262"/>
      </left>
      <right style="hair">
        <color theme="1" tint="0.499984740745262"/>
      </right>
      <top style="hair">
        <color theme="1" tint="0.499984740745262"/>
      </top>
      <bottom style="thin">
        <color theme="1" tint="0.499984740745262"/>
      </bottom>
      <diagonal/>
    </border>
    <border>
      <left style="hair">
        <color theme="1" tint="0.499984740745262"/>
      </left>
      <right style="thin">
        <color theme="1" tint="0.499984740745262"/>
      </right>
      <top style="hair">
        <color theme="1" tint="0.499984740745262"/>
      </top>
      <bottom style="thin">
        <color theme="1" tint="0.499984740745262"/>
      </bottom>
      <diagonal/>
    </border>
    <border>
      <left style="hair">
        <color theme="1" tint="0.499984740745262"/>
      </left>
      <right style="hair">
        <color theme="1" tint="0.499984740745262"/>
      </right>
      <top style="thin">
        <color theme="1" tint="0.499984740745262"/>
      </top>
      <bottom style="hair">
        <color theme="1" tint="0.499984740745262"/>
      </bottom>
      <diagonal/>
    </border>
    <border>
      <left style="hair">
        <color theme="1" tint="0.499984740745262"/>
      </left>
      <right style="hair">
        <color theme="1" tint="0.499984740745262"/>
      </right>
      <top style="hair">
        <color theme="1" tint="0.499984740745262"/>
      </top>
      <bottom style="thin">
        <color theme="1" tint="0.499984740745262"/>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hair">
        <color theme="1" tint="0.499984740745262"/>
      </left>
      <right/>
      <top style="hair">
        <color theme="1" tint="0.499984740745262"/>
      </top>
      <bottom/>
      <diagonal/>
    </border>
    <border>
      <left/>
      <right/>
      <top style="hair">
        <color theme="1" tint="0.499984740745262"/>
      </top>
      <bottom/>
      <diagonal/>
    </border>
    <border>
      <left/>
      <right style="hair">
        <color theme="1" tint="0.499984740745262"/>
      </right>
      <top style="hair">
        <color theme="1" tint="0.499984740745262"/>
      </top>
      <bottom/>
      <diagonal/>
    </border>
    <border>
      <left style="hair">
        <color theme="1" tint="0.499984740745262"/>
      </left>
      <right/>
      <top/>
      <bottom/>
      <diagonal/>
    </border>
    <border>
      <left/>
      <right style="hair">
        <color theme="1" tint="0.499984740745262"/>
      </right>
      <top/>
      <bottom/>
      <diagonal/>
    </border>
    <border>
      <left style="hair">
        <color theme="1" tint="0.499984740745262"/>
      </left>
      <right/>
      <top/>
      <bottom style="hair">
        <color theme="1" tint="0.499984740745262"/>
      </bottom>
      <diagonal/>
    </border>
    <border>
      <left/>
      <right/>
      <top/>
      <bottom style="hair">
        <color theme="1" tint="0.499984740745262"/>
      </bottom>
      <diagonal/>
    </border>
    <border>
      <left/>
      <right style="hair">
        <color theme="1" tint="0.499984740745262"/>
      </right>
      <top/>
      <bottom style="hair">
        <color theme="1" tint="0.499984740745262"/>
      </bottom>
      <diagonal/>
    </border>
    <border>
      <left style="thin">
        <color theme="1" tint="0.499984740745262"/>
      </left>
      <right style="thin">
        <color theme="1" tint="0.499984740745262"/>
      </right>
      <top style="hair">
        <color theme="1" tint="0.499984740745262"/>
      </top>
      <bottom style="thin">
        <color theme="1" tint="0.499984740745262"/>
      </bottom>
      <diagonal/>
    </border>
    <border>
      <left style="thin">
        <color theme="1" tint="0.499984740745262"/>
      </left>
      <right style="hair">
        <color theme="1" tint="0.499984740745262"/>
      </right>
      <top style="hair">
        <color theme="1" tint="0.499984740745262"/>
      </top>
      <bottom/>
      <diagonal/>
    </border>
    <border>
      <left style="hair">
        <color theme="1" tint="0.499984740745262"/>
      </left>
      <right style="hair">
        <color theme="1" tint="0.499984740745262"/>
      </right>
      <top style="hair">
        <color theme="1" tint="0.499984740745262"/>
      </top>
      <bottom/>
      <diagonal/>
    </border>
    <border>
      <left style="hair">
        <color theme="1" tint="0.499984740745262"/>
      </left>
      <right style="thin">
        <color theme="1" tint="0.499984740745262"/>
      </right>
      <top style="hair">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style="hair">
        <color theme="1" tint="0.499984740745262"/>
      </bottom>
      <diagonal/>
    </border>
    <border>
      <left style="thin">
        <color theme="1" tint="0.499984740745262"/>
      </left>
      <right style="hair">
        <color theme="1" tint="0.499984740745262"/>
      </right>
      <top style="thin">
        <color theme="1" tint="0.499984740745262"/>
      </top>
      <bottom style="thin">
        <color theme="1" tint="0.499984740745262"/>
      </bottom>
      <diagonal/>
    </border>
    <border>
      <left style="hair">
        <color theme="1" tint="0.499984740745262"/>
      </left>
      <right style="hair">
        <color theme="1" tint="0.499984740745262"/>
      </right>
      <top style="thin">
        <color theme="1" tint="0.499984740745262"/>
      </top>
      <bottom style="thin">
        <color theme="1" tint="0.499984740745262"/>
      </bottom>
      <diagonal/>
    </border>
    <border>
      <left style="hair">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style="hair">
        <color theme="1" tint="0.499984740745262"/>
      </top>
      <bottom style="hair">
        <color theme="1" tint="0.499984740745262"/>
      </bottom>
      <diagonal/>
    </border>
    <border>
      <left/>
      <right/>
      <top style="double">
        <color theme="1" tint="0.499984740745262"/>
      </top>
      <bottom/>
      <diagonal/>
    </border>
    <border>
      <left/>
      <right/>
      <top style="double">
        <color theme="1" tint="0.499984740745262"/>
      </top>
      <bottom style="thin">
        <color theme="1" tint="0.499984740745262"/>
      </bottom>
      <diagonal/>
    </border>
    <border>
      <left style="thin">
        <color theme="1" tint="0.499984740745262"/>
      </left>
      <right/>
      <top style="thin">
        <color theme="1" tint="0.499984740745262"/>
      </top>
      <bottom style="hair">
        <color theme="1" tint="0.499984740745262"/>
      </bottom>
      <diagonal/>
    </border>
    <border>
      <left/>
      <right/>
      <top style="thin">
        <color theme="1" tint="0.499984740745262"/>
      </top>
      <bottom style="hair">
        <color theme="1" tint="0.499984740745262"/>
      </bottom>
      <diagonal/>
    </border>
    <border>
      <left/>
      <right style="thin">
        <color theme="1" tint="0.499984740745262"/>
      </right>
      <top style="thin">
        <color theme="1" tint="0.499984740745262"/>
      </top>
      <bottom style="hair">
        <color theme="1" tint="0.499984740745262"/>
      </bottom>
      <diagonal/>
    </border>
    <border>
      <left style="thin">
        <color theme="1" tint="0.499984740745262"/>
      </left>
      <right/>
      <top style="hair">
        <color theme="1" tint="0.499984740745262"/>
      </top>
      <bottom style="hair">
        <color theme="1" tint="0.499984740745262"/>
      </bottom>
      <diagonal/>
    </border>
    <border>
      <left/>
      <right/>
      <top style="hair">
        <color theme="1" tint="0.499984740745262"/>
      </top>
      <bottom style="hair">
        <color theme="1" tint="0.499984740745262"/>
      </bottom>
      <diagonal/>
    </border>
    <border>
      <left/>
      <right style="thin">
        <color theme="1" tint="0.499984740745262"/>
      </right>
      <top style="hair">
        <color theme="1" tint="0.499984740745262"/>
      </top>
      <bottom style="hair">
        <color theme="1" tint="0.499984740745262"/>
      </bottom>
      <diagonal/>
    </border>
    <border>
      <left style="thin">
        <color theme="1" tint="0.499984740745262"/>
      </left>
      <right/>
      <top style="hair">
        <color theme="1" tint="0.499984740745262"/>
      </top>
      <bottom style="thin">
        <color theme="1" tint="0.499984740745262"/>
      </bottom>
      <diagonal/>
    </border>
    <border>
      <left/>
      <right/>
      <top style="hair">
        <color theme="1" tint="0.499984740745262"/>
      </top>
      <bottom style="thin">
        <color theme="1" tint="0.499984740745262"/>
      </bottom>
      <diagonal/>
    </border>
    <border>
      <left/>
      <right style="thin">
        <color theme="1" tint="0.499984740745262"/>
      </right>
      <top style="hair">
        <color theme="1" tint="0.499984740745262"/>
      </top>
      <bottom style="thin">
        <color theme="1" tint="0.499984740745262"/>
      </bottom>
      <diagonal/>
    </border>
    <border>
      <left style="thin">
        <color theme="1" tint="0.499984740745262"/>
      </left>
      <right style="thin">
        <color theme="1" tint="0.499984740745262"/>
      </right>
      <top style="hair">
        <color theme="1" tint="0.499984740745262"/>
      </top>
      <bottom/>
      <diagonal/>
    </border>
    <border>
      <left style="hair">
        <color theme="1" tint="0.499984740745262"/>
      </left>
      <right style="thin">
        <color theme="1" tint="0.499984740745262"/>
      </right>
      <top/>
      <bottom style="hair">
        <color theme="1" tint="0.499984740745262"/>
      </bottom>
      <diagonal/>
    </border>
    <border>
      <left/>
      <right style="thin">
        <color theme="1" tint="0.499984740745262"/>
      </right>
      <top/>
      <bottom style="hair">
        <color theme="1" tint="0.499984740745262"/>
      </bottom>
      <diagonal/>
    </border>
    <border>
      <left style="medium">
        <color theme="1" tint="0.499984740745262"/>
      </left>
      <right/>
      <top/>
      <bottom/>
      <diagonal/>
    </border>
    <border>
      <left style="thin">
        <color theme="1" tint="0.499984740745262"/>
      </left>
      <right style="thin">
        <color theme="1" tint="0.499984740745262"/>
      </right>
      <top/>
      <bottom style="thin">
        <color theme="1" tint="0.499984740745262"/>
      </bottom>
      <diagonal/>
    </border>
    <border>
      <left style="hair">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hair">
        <color theme="1" tint="0.499984740745262"/>
      </left>
      <right style="hair">
        <color theme="1" tint="0.499984740745262"/>
      </right>
      <top style="thin">
        <color theme="1" tint="0.499984740745262"/>
      </top>
      <bottom/>
      <diagonal/>
    </border>
    <border>
      <left style="hair">
        <color theme="1" tint="0.499984740745262"/>
      </left>
      <right/>
      <top style="thin">
        <color theme="1" tint="0.499984740745262"/>
      </top>
      <bottom/>
      <diagonal/>
    </border>
    <border>
      <left/>
      <right style="hair">
        <color theme="1" tint="0.499984740745262"/>
      </right>
      <top style="thin">
        <color theme="1" tint="0.499984740745262"/>
      </top>
      <bottom/>
      <diagonal/>
    </border>
    <border>
      <left style="thin">
        <color theme="1" tint="0.499984740745262"/>
      </left>
      <right style="hair">
        <color theme="1" tint="0.499984740745262"/>
      </right>
      <top/>
      <bottom style="hair">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bottom style="hair">
        <color theme="1" tint="0.499984740745262"/>
      </bottom>
      <diagonal/>
    </border>
    <border>
      <left style="double">
        <color theme="1" tint="0.499984740745262"/>
      </left>
      <right/>
      <top style="double">
        <color theme="1" tint="0.499984740745262"/>
      </top>
      <bottom style="double">
        <color theme="1" tint="0.499984740745262"/>
      </bottom>
      <diagonal/>
    </border>
    <border>
      <left/>
      <right style="double">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bottom style="double">
        <color theme="1" tint="0.499984740745262"/>
      </bottom>
      <diagonal/>
    </border>
    <border>
      <left style="medium">
        <color theme="1" tint="0.499984740745262"/>
      </left>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top style="thin">
        <color theme="1" tint="0.499984740745262"/>
      </top>
      <bottom/>
      <diagonal/>
    </border>
    <border>
      <left style="thin">
        <color theme="1" tint="0.499984740745262"/>
      </left>
      <right style="medium">
        <color theme="1" tint="0.499984740745262"/>
      </right>
      <top/>
      <bottom/>
      <diagonal/>
    </border>
    <border>
      <left style="medium">
        <color theme="1" tint="0.499984740745262"/>
      </left>
      <right/>
      <top/>
      <bottom style="thin">
        <color theme="1" tint="0.499984740745262"/>
      </bottom>
      <diagonal/>
    </border>
    <border>
      <left style="thin">
        <color theme="1" tint="0.499984740745262"/>
      </left>
      <right style="medium">
        <color theme="1" tint="0.499984740745262"/>
      </right>
      <top/>
      <bottom style="thin">
        <color theme="1" tint="0.499984740745262"/>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thin">
        <color theme="1" tint="0.499984740745262"/>
      </right>
      <top/>
      <bottom style="medium">
        <color theme="1" tint="0.499984740745262"/>
      </bottom>
      <diagonal/>
    </border>
    <border>
      <left style="thin">
        <color theme="1" tint="0.499984740745262"/>
      </left>
      <right style="medium">
        <color theme="1" tint="0.499984740745262"/>
      </right>
      <top/>
      <bottom style="medium">
        <color theme="1" tint="0.499984740745262"/>
      </bottom>
      <diagonal/>
    </border>
    <border>
      <left style="medium">
        <color theme="1" tint="0.499984740745262"/>
      </left>
      <right/>
      <top style="thin">
        <color theme="1" tint="0.499984740745262"/>
      </top>
      <bottom style="medium">
        <color theme="1" tint="0.499984740745262"/>
      </bottom>
      <diagonal/>
    </border>
    <border>
      <left/>
      <right/>
      <top style="thin">
        <color theme="1" tint="0.499984740745262"/>
      </top>
      <bottom style="medium">
        <color theme="1" tint="0.499984740745262"/>
      </bottom>
      <diagonal/>
    </border>
    <border>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bottom style="medium">
        <color theme="1" tint="0.499984740745262"/>
      </bottom>
      <diagonal/>
    </border>
    <border>
      <left/>
      <right style="medium">
        <color theme="1" tint="0.499984740745262"/>
      </right>
      <top style="thin">
        <color theme="1" tint="0.499984740745262"/>
      </top>
      <bottom style="thin">
        <color theme="1" tint="0.499984740745262"/>
      </bottom>
      <diagonal/>
    </border>
  </borders>
  <cellStyleXfs count="6">
    <xf numFmtId="0" fontId="0" fillId="0" borderId="0"/>
    <xf numFmtId="44" fontId="1" fillId="0" borderId="0" applyFont="0" applyFill="0" applyBorder="0" applyAlignment="0" applyProtection="0"/>
    <xf numFmtId="0" fontId="15" fillId="0" borderId="0" applyNumberFormat="0" applyFill="0" applyBorder="0" applyAlignment="0" applyProtection="0"/>
    <xf numFmtId="9" fontId="1" fillId="0" borderId="0" applyFont="0" applyFill="0" applyBorder="0" applyAlignment="0" applyProtection="0"/>
    <xf numFmtId="0" fontId="23" fillId="0" borderId="0"/>
    <xf numFmtId="179" fontId="1" fillId="0" borderId="0" applyFont="0" applyFill="0" applyBorder="0" applyAlignment="0" applyProtection="0"/>
  </cellStyleXfs>
  <cellXfs count="353">
    <xf numFmtId="0" fontId="0" fillId="0" borderId="0" xfId="0"/>
    <xf numFmtId="0" fontId="0" fillId="2" borderId="0" xfId="0" applyFill="1"/>
    <xf numFmtId="0" fontId="0" fillId="3" borderId="0" xfId="0" applyFill="1"/>
    <xf numFmtId="0" fontId="3" fillId="3" borderId="0" xfId="0" applyFont="1" applyFill="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2" fillId="2" borderId="0" xfId="0" applyFont="1" applyFill="1"/>
    <xf numFmtId="0" fontId="2" fillId="2" borderId="0" xfId="0" applyFont="1" applyFill="1" applyAlignment="1">
      <alignment horizontal="center"/>
    </xf>
    <xf numFmtId="0" fontId="0" fillId="2" borderId="2" xfId="0" applyFill="1" applyBorder="1" applyAlignment="1">
      <alignment horizontal="center" vertical="center"/>
    </xf>
    <xf numFmtId="0" fontId="0" fillId="2" borderId="8" xfId="0" applyFill="1" applyBorder="1" applyAlignment="1">
      <alignment horizontal="center" vertical="center"/>
    </xf>
    <xf numFmtId="0" fontId="0" fillId="2" borderId="3" xfId="0" applyFill="1" applyBorder="1" applyAlignment="1">
      <alignment horizontal="center" vertical="center"/>
    </xf>
    <xf numFmtId="0" fontId="0" fillId="2" borderId="6" xfId="0" applyFill="1" applyBorder="1" applyAlignment="1">
      <alignment horizontal="center" vertical="center"/>
    </xf>
    <xf numFmtId="0" fontId="0" fillId="2" borderId="9"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xf>
    <xf numFmtId="164" fontId="0" fillId="4" borderId="4" xfId="0" applyNumberFormat="1" applyFill="1" applyBorder="1"/>
    <xf numFmtId="164" fontId="0" fillId="4" borderId="6" xfId="0" applyNumberFormat="1" applyFill="1" applyBorder="1"/>
    <xf numFmtId="165" fontId="0" fillId="4" borderId="3" xfId="0" applyNumberFormat="1" applyFill="1" applyBorder="1"/>
    <xf numFmtId="165" fontId="0" fillId="4" borderId="5" xfId="0" applyNumberFormat="1" applyFill="1" applyBorder="1"/>
    <xf numFmtId="165" fontId="0" fillId="4" borderId="7" xfId="0" applyNumberFormat="1" applyFill="1" applyBorder="1"/>
    <xf numFmtId="0" fontId="5" fillId="2" borderId="0" xfId="0" applyFont="1" applyFill="1"/>
    <xf numFmtId="164" fontId="0" fillId="5" borderId="4" xfId="0" applyNumberFormat="1" applyFill="1" applyBorder="1"/>
    <xf numFmtId="164" fontId="0" fillId="5" borderId="6" xfId="0" applyNumberFormat="1" applyFill="1" applyBorder="1"/>
    <xf numFmtId="44" fontId="0" fillId="5" borderId="4" xfId="1" applyFont="1" applyFill="1" applyBorder="1"/>
    <xf numFmtId="44" fontId="0" fillId="5" borderId="6" xfId="1" applyFont="1" applyFill="1" applyBorder="1"/>
    <xf numFmtId="166" fontId="0" fillId="4" borderId="3" xfId="0" applyNumberFormat="1" applyFill="1" applyBorder="1"/>
    <xf numFmtId="166" fontId="0" fillId="4" borderId="5" xfId="0" applyNumberFormat="1" applyFill="1" applyBorder="1"/>
    <xf numFmtId="166" fontId="0" fillId="4" borderId="7" xfId="0" applyNumberFormat="1" applyFill="1" applyBorder="1"/>
    <xf numFmtId="167" fontId="0" fillId="4" borderId="3" xfId="0" applyNumberFormat="1" applyFill="1" applyBorder="1"/>
    <xf numFmtId="167" fontId="0" fillId="4" borderId="5" xfId="0" applyNumberFormat="1" applyFill="1" applyBorder="1"/>
    <xf numFmtId="167" fontId="0" fillId="4" borderId="7" xfId="0" applyNumberFormat="1" applyFill="1" applyBorder="1"/>
    <xf numFmtId="168" fontId="0" fillId="5" borderId="4" xfId="1" applyNumberFormat="1" applyFont="1" applyFill="1" applyBorder="1"/>
    <xf numFmtId="168" fontId="0" fillId="5" borderId="6" xfId="1" applyNumberFormat="1" applyFont="1" applyFill="1" applyBorder="1"/>
    <xf numFmtId="164" fontId="0" fillId="5" borderId="2" xfId="0" applyNumberFormat="1" applyFill="1" applyBorder="1"/>
    <xf numFmtId="44" fontId="0" fillId="5" borderId="2" xfId="1" applyFont="1" applyFill="1" applyBorder="1"/>
    <xf numFmtId="168" fontId="0" fillId="5" borderId="2" xfId="1" applyNumberFormat="1" applyFont="1" applyFill="1" applyBorder="1"/>
    <xf numFmtId="0" fontId="0" fillId="2" borderId="20" xfId="0" applyFill="1" applyBorder="1" applyAlignment="1">
      <alignment horizontal="center" vertical="center"/>
    </xf>
    <xf numFmtId="0" fontId="0" fillId="2" borderId="21" xfId="0" applyFill="1" applyBorder="1" applyAlignment="1">
      <alignment horizontal="center" vertical="center"/>
    </xf>
    <xf numFmtId="0" fontId="0" fillId="2" borderId="22" xfId="0" applyFill="1" applyBorder="1" applyAlignment="1">
      <alignment horizontal="center" vertical="center"/>
    </xf>
    <xf numFmtId="0" fontId="0" fillId="4" borderId="24" xfId="0" applyFill="1" applyBorder="1"/>
    <xf numFmtId="0" fontId="0" fillId="4" borderId="19" xfId="0" applyFill="1" applyBorder="1"/>
    <xf numFmtId="0" fontId="2" fillId="2" borderId="23" xfId="0" applyFont="1" applyFill="1" applyBorder="1" applyAlignment="1">
      <alignment horizontal="center" vertical="top" wrapText="1"/>
    </xf>
    <xf numFmtId="0" fontId="0" fillId="4" borderId="24" xfId="0" applyFill="1" applyBorder="1" applyAlignment="1">
      <alignment horizontal="center"/>
    </xf>
    <xf numFmtId="0" fontId="0" fillId="4" borderId="19" xfId="0" applyFill="1" applyBorder="1" applyAlignment="1">
      <alignment horizontal="center"/>
    </xf>
    <xf numFmtId="167" fontId="0" fillId="4" borderId="24" xfId="0" applyNumberFormat="1" applyFill="1" applyBorder="1" applyAlignment="1">
      <alignment horizontal="center"/>
    </xf>
    <xf numFmtId="167" fontId="0" fillId="4" borderId="19" xfId="0" applyNumberFormat="1" applyFill="1" applyBorder="1" applyAlignment="1">
      <alignment horizontal="center"/>
    </xf>
    <xf numFmtId="164" fontId="0" fillId="4" borderId="3" xfId="0" applyNumberFormat="1" applyFill="1" applyBorder="1"/>
    <xf numFmtId="0" fontId="0" fillId="6" borderId="0" xfId="0" applyFill="1" applyAlignment="1">
      <alignment vertical="top" wrapText="1"/>
    </xf>
    <xf numFmtId="0" fontId="0" fillId="6" borderId="25" xfId="0" applyFill="1" applyBorder="1" applyAlignment="1">
      <alignment vertical="top" wrapText="1"/>
    </xf>
    <xf numFmtId="0" fontId="0" fillId="6" borderId="26" xfId="0" applyFill="1" applyBorder="1" applyAlignment="1">
      <alignment vertical="top" wrapText="1"/>
    </xf>
    <xf numFmtId="44" fontId="0" fillId="6" borderId="26" xfId="1" applyFont="1" applyFill="1" applyBorder="1" applyAlignment="1">
      <alignment vertical="top" wrapText="1"/>
    </xf>
    <xf numFmtId="0" fontId="0" fillId="6" borderId="27" xfId="0" applyFill="1" applyBorder="1" applyAlignment="1">
      <alignment vertical="top" wrapText="1"/>
    </xf>
    <xf numFmtId="164" fontId="0" fillId="4" borderId="7" xfId="0" applyNumberFormat="1" applyFill="1" applyBorder="1"/>
    <xf numFmtId="168" fontId="0" fillId="5" borderId="25" xfId="1" applyNumberFormat="1" applyFont="1" applyFill="1" applyBorder="1"/>
    <xf numFmtId="166" fontId="0" fillId="4" borderId="27" xfId="0" applyNumberFormat="1" applyFill="1" applyBorder="1"/>
    <xf numFmtId="0" fontId="2" fillId="7" borderId="0" xfId="0" applyFont="1" applyFill="1"/>
    <xf numFmtId="0" fontId="0" fillId="2" borderId="28" xfId="0" applyFill="1" applyBorder="1"/>
    <xf numFmtId="0" fontId="0" fillId="2" borderId="29" xfId="0" applyFill="1" applyBorder="1"/>
    <xf numFmtId="0" fontId="0" fillId="2" borderId="30" xfId="0" applyFill="1" applyBorder="1"/>
    <xf numFmtId="0" fontId="0" fillId="2" borderId="31" xfId="0" applyFill="1" applyBorder="1"/>
    <xf numFmtId="0" fontId="0" fillId="2" borderId="0"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44" fontId="0" fillId="6" borderId="27" xfId="1" applyFont="1" applyFill="1" applyBorder="1" applyAlignment="1">
      <alignment vertical="top" wrapText="1"/>
    </xf>
    <xf numFmtId="0" fontId="2" fillId="2" borderId="0" xfId="0" applyFont="1" applyFill="1" applyBorder="1" applyAlignment="1">
      <alignment horizontal="center"/>
    </xf>
    <xf numFmtId="0" fontId="2" fillId="7" borderId="31" xfId="0" applyFont="1" applyFill="1" applyBorder="1"/>
    <xf numFmtId="0" fontId="0" fillId="4" borderId="36" xfId="0" applyFill="1" applyBorder="1"/>
    <xf numFmtId="0" fontId="0" fillId="2" borderId="0" xfId="0" quotePrefix="1" applyFill="1" applyBorder="1"/>
    <xf numFmtId="169" fontId="0" fillId="5" borderId="2" xfId="0" applyNumberFormat="1" applyFill="1" applyBorder="1"/>
    <xf numFmtId="169" fontId="0" fillId="5" borderId="6" xfId="0" applyNumberFormat="1" applyFill="1" applyBorder="1"/>
    <xf numFmtId="169" fontId="0" fillId="4" borderId="3" xfId="0" applyNumberFormat="1" applyFill="1" applyBorder="1"/>
    <xf numFmtId="169" fontId="0" fillId="4" borderId="7" xfId="0" applyNumberFormat="1" applyFill="1" applyBorder="1"/>
    <xf numFmtId="167" fontId="0" fillId="4" borderId="8" xfId="0" applyNumberFormat="1" applyFill="1" applyBorder="1"/>
    <xf numFmtId="44" fontId="0" fillId="5" borderId="8" xfId="1" applyFont="1" applyFill="1" applyBorder="1"/>
    <xf numFmtId="168" fontId="0" fillId="5" borderId="8" xfId="1" applyNumberFormat="1" applyFont="1" applyFill="1" applyBorder="1"/>
    <xf numFmtId="169" fontId="0" fillId="5" borderId="4" xfId="0" applyNumberFormat="1" applyFill="1" applyBorder="1"/>
    <xf numFmtId="167" fontId="0" fillId="4" borderId="10" xfId="0" applyNumberFormat="1" applyFill="1" applyBorder="1"/>
    <xf numFmtId="44" fontId="0" fillId="5" borderId="10" xfId="1" applyFont="1" applyFill="1" applyBorder="1"/>
    <xf numFmtId="168" fontId="0" fillId="5" borderId="10" xfId="1" applyNumberFormat="1" applyFont="1" applyFill="1" applyBorder="1"/>
    <xf numFmtId="169" fontId="0" fillId="5" borderId="20" xfId="0" applyNumberFormat="1" applyFill="1" applyBorder="1"/>
    <xf numFmtId="169" fontId="0" fillId="5" borderId="37" xfId="0" applyNumberFormat="1" applyFill="1" applyBorder="1"/>
    <xf numFmtId="167" fontId="0" fillId="4" borderId="21" xfId="0" applyNumberFormat="1" applyFill="1" applyBorder="1"/>
    <xf numFmtId="44" fontId="0" fillId="5" borderId="21" xfId="1" applyFont="1" applyFill="1" applyBorder="1"/>
    <xf numFmtId="168" fontId="0" fillId="5" borderId="21" xfId="1" applyNumberFormat="1" applyFont="1" applyFill="1" applyBorder="1"/>
    <xf numFmtId="166" fontId="0" fillId="4" borderId="22" xfId="0" applyNumberFormat="1" applyFill="1" applyBorder="1"/>
    <xf numFmtId="44" fontId="0" fillId="5" borderId="37" xfId="0" applyNumberFormat="1" applyFill="1" applyBorder="1"/>
    <xf numFmtId="0" fontId="0" fillId="4" borderId="1" xfId="0" applyFill="1" applyBorder="1"/>
    <xf numFmtId="165" fontId="0" fillId="4" borderId="1" xfId="0" applyNumberFormat="1" applyFill="1" applyBorder="1"/>
    <xf numFmtId="0" fontId="2" fillId="2" borderId="31" xfId="0" applyFont="1" applyFill="1" applyBorder="1"/>
    <xf numFmtId="165" fontId="0" fillId="4" borderId="24" xfId="0" applyNumberFormat="1" applyFill="1" applyBorder="1"/>
    <xf numFmtId="165" fontId="0" fillId="4" borderId="36" xfId="0" applyNumberFormat="1" applyFill="1" applyBorder="1"/>
    <xf numFmtId="165" fontId="0" fillId="4" borderId="19" xfId="0" applyNumberFormat="1" applyFill="1" applyBorder="1"/>
    <xf numFmtId="167" fontId="0" fillId="4" borderId="37" xfId="0" applyNumberFormat="1" applyFill="1" applyBorder="1"/>
    <xf numFmtId="166" fontId="0" fillId="4" borderId="37" xfId="0" applyNumberFormat="1" applyFill="1" applyBorder="1"/>
    <xf numFmtId="167" fontId="0" fillId="5" borderId="37" xfId="0" applyNumberFormat="1" applyFill="1" applyBorder="1"/>
    <xf numFmtId="169" fontId="0" fillId="5" borderId="38" xfId="0" applyNumberFormat="1" applyFill="1" applyBorder="1"/>
    <xf numFmtId="167" fontId="0" fillId="4" borderId="38" xfId="0" applyNumberFormat="1" applyFill="1" applyBorder="1"/>
    <xf numFmtId="44" fontId="0" fillId="5" borderId="38" xfId="0" applyNumberFormat="1" applyFill="1" applyBorder="1"/>
    <xf numFmtId="167" fontId="0" fillId="5" borderId="38" xfId="0" applyNumberFormat="1" applyFill="1" applyBorder="1"/>
    <xf numFmtId="166" fontId="0" fillId="4" borderId="38" xfId="0" applyNumberFormat="1" applyFill="1" applyBorder="1"/>
    <xf numFmtId="0" fontId="0" fillId="2" borderId="0" xfId="0" applyFill="1" applyAlignment="1"/>
    <xf numFmtId="0" fontId="0" fillId="2" borderId="45" xfId="0" applyFill="1" applyBorder="1"/>
    <xf numFmtId="0" fontId="2" fillId="2" borderId="39" xfId="0" applyFont="1" applyFill="1" applyBorder="1" applyAlignment="1">
      <alignment vertical="top" wrapText="1"/>
    </xf>
    <xf numFmtId="0" fontId="2" fillId="2" borderId="42" xfId="0" applyFont="1" applyFill="1" applyBorder="1" applyAlignment="1">
      <alignment vertical="top" wrapText="1"/>
    </xf>
    <xf numFmtId="0" fontId="2" fillId="2" borderId="45" xfId="0" applyFont="1" applyFill="1" applyBorder="1" applyAlignment="1">
      <alignment vertical="top" wrapText="1"/>
    </xf>
    <xf numFmtId="0" fontId="2" fillId="8" borderId="31" xfId="0" applyFont="1" applyFill="1" applyBorder="1"/>
    <xf numFmtId="0" fontId="10" fillId="2" borderId="0" xfId="0" quotePrefix="1" applyFont="1" applyFill="1" applyBorder="1"/>
    <xf numFmtId="0" fontId="4" fillId="2" borderId="0" xfId="0" applyFont="1" applyFill="1" applyBorder="1"/>
    <xf numFmtId="0" fontId="6" fillId="6" borderId="25" xfId="0" applyFont="1" applyFill="1" applyBorder="1" applyAlignment="1">
      <alignment vertical="top" wrapText="1"/>
    </xf>
    <xf numFmtId="0" fontId="6" fillId="6" borderId="26" xfId="0" applyFont="1" applyFill="1" applyBorder="1" applyAlignment="1">
      <alignment vertical="top" wrapText="1"/>
    </xf>
    <xf numFmtId="44" fontId="6" fillId="6" borderId="26" xfId="1" applyFont="1" applyFill="1" applyBorder="1" applyAlignment="1">
      <alignment vertical="top" wrapText="1"/>
    </xf>
    <xf numFmtId="0" fontId="6" fillId="6" borderId="27" xfId="0" applyFont="1" applyFill="1" applyBorder="1" applyAlignment="1">
      <alignment vertical="top" wrapText="1"/>
    </xf>
    <xf numFmtId="167" fontId="0" fillId="4" borderId="48" xfId="0" applyNumberFormat="1" applyFill="1" applyBorder="1" applyAlignment="1">
      <alignment horizontal="center"/>
    </xf>
    <xf numFmtId="0" fontId="0" fillId="2" borderId="47" xfId="0" applyFill="1" applyBorder="1"/>
    <xf numFmtId="0" fontId="0" fillId="2" borderId="31" xfId="0" applyFill="1" applyBorder="1" applyAlignment="1">
      <alignment vertical="center" wrapText="1"/>
    </xf>
    <xf numFmtId="167" fontId="0" fillId="4" borderId="36" xfId="0" applyNumberFormat="1" applyFill="1" applyBorder="1" applyAlignment="1">
      <alignment vertical="center" wrapText="1"/>
    </xf>
    <xf numFmtId="0" fontId="0" fillId="2" borderId="36" xfId="0" applyFill="1" applyBorder="1" applyAlignment="1">
      <alignment vertical="center" wrapText="1"/>
    </xf>
    <xf numFmtId="0" fontId="0" fillId="2" borderId="19" xfId="0" applyFill="1" applyBorder="1" applyAlignment="1">
      <alignment vertical="center" wrapText="1"/>
    </xf>
    <xf numFmtId="0" fontId="11" fillId="2" borderId="0" xfId="0" applyFont="1" applyFill="1"/>
    <xf numFmtId="0" fontId="0" fillId="2" borderId="0" xfId="0" applyFill="1" applyAlignment="1">
      <alignment vertical="center"/>
    </xf>
    <xf numFmtId="0" fontId="0" fillId="2" borderId="0" xfId="0" applyFill="1" applyAlignment="1">
      <alignment horizontal="center" vertical="center"/>
    </xf>
    <xf numFmtId="0" fontId="0" fillId="2" borderId="0" xfId="0" applyFill="1" applyAlignment="1">
      <alignment vertical="top"/>
    </xf>
    <xf numFmtId="0" fontId="0" fillId="4" borderId="0" xfId="0" applyFill="1" applyAlignment="1">
      <alignment vertical="top"/>
    </xf>
    <xf numFmtId="0" fontId="0" fillId="4" borderId="0" xfId="0" applyFill="1" applyAlignment="1">
      <alignment vertical="top" wrapText="1"/>
    </xf>
    <xf numFmtId="0" fontId="13" fillId="11" borderId="0" xfId="0" applyFont="1" applyFill="1"/>
    <xf numFmtId="0" fontId="13" fillId="11" borderId="0" xfId="0" applyFont="1" applyFill="1" applyAlignment="1">
      <alignment horizontal="center"/>
    </xf>
    <xf numFmtId="0" fontId="12" fillId="10" borderId="0" xfId="0" applyFont="1" applyFill="1" applyAlignment="1"/>
    <xf numFmtId="0" fontId="3" fillId="12" borderId="0" xfId="0" applyFont="1" applyFill="1"/>
    <xf numFmtId="0" fontId="14" fillId="2" borderId="0" xfId="0" applyFont="1" applyFill="1"/>
    <xf numFmtId="0" fontId="3" fillId="14" borderId="0" xfId="0" applyFont="1" applyFill="1"/>
    <xf numFmtId="0" fontId="0" fillId="13" borderId="0" xfId="0" applyFill="1" applyAlignment="1">
      <alignment horizontal="center"/>
    </xf>
    <xf numFmtId="0" fontId="3" fillId="3" borderId="0" xfId="0" quotePrefix="1" applyFont="1" applyFill="1"/>
    <xf numFmtId="0" fontId="3" fillId="16" borderId="0" xfId="0" applyFont="1" applyFill="1"/>
    <xf numFmtId="0" fontId="3" fillId="16" borderId="0" xfId="0" applyFont="1" applyFill="1" applyAlignment="1">
      <alignment horizontal="center" vertical="center"/>
    </xf>
    <xf numFmtId="0" fontId="12" fillId="10" borderId="0" xfId="0" applyFont="1" applyFill="1" applyAlignment="1">
      <alignment horizontal="left"/>
    </xf>
    <xf numFmtId="0" fontId="3" fillId="14" borderId="0" xfId="0" applyFont="1" applyFill="1" applyAlignment="1">
      <alignment horizontal="center"/>
    </xf>
    <xf numFmtId="0" fontId="6" fillId="2" borderId="0" xfId="0" applyFont="1" applyFill="1" applyBorder="1" applyAlignment="1">
      <alignment vertical="top" wrapText="1"/>
    </xf>
    <xf numFmtId="0" fontId="0" fillId="2" borderId="29" xfId="0" applyFill="1" applyBorder="1" applyAlignment="1">
      <alignment horizontal="center"/>
    </xf>
    <xf numFmtId="0" fontId="0" fillId="2" borderId="40" xfId="0" applyFill="1" applyBorder="1" applyAlignment="1">
      <alignment vertical="top" wrapText="1"/>
    </xf>
    <xf numFmtId="0" fontId="0" fillId="2" borderId="41" xfId="0" applyFill="1" applyBorder="1" applyAlignment="1">
      <alignment vertical="top" wrapText="1"/>
    </xf>
    <xf numFmtId="0" fontId="0" fillId="2" borderId="43" xfId="0" applyFill="1" applyBorder="1" applyAlignment="1">
      <alignment vertical="top" wrapText="1"/>
    </xf>
    <xf numFmtId="0" fontId="0" fillId="2" borderId="44" xfId="0" applyFill="1" applyBorder="1" applyAlignment="1">
      <alignment vertical="top" wrapText="1"/>
    </xf>
    <xf numFmtId="0" fontId="0" fillId="2" borderId="46" xfId="0" applyFill="1" applyBorder="1" applyAlignment="1">
      <alignment vertical="top" wrapText="1"/>
    </xf>
    <xf numFmtId="0" fontId="0" fillId="2" borderId="47" xfId="0" applyFill="1" applyBorder="1" applyAlignment="1">
      <alignment vertical="top" wrapText="1"/>
    </xf>
    <xf numFmtId="0" fontId="6" fillId="2" borderId="31" xfId="0" quotePrefix="1" applyFont="1" applyFill="1" applyBorder="1" applyAlignment="1">
      <alignment horizontal="left" vertical="top" wrapText="1"/>
    </xf>
    <xf numFmtId="0" fontId="6" fillId="2" borderId="0" xfId="0" quotePrefix="1" applyFont="1" applyFill="1" applyBorder="1" applyAlignment="1">
      <alignment horizontal="left" vertical="top" wrapText="1"/>
    </xf>
    <xf numFmtId="0" fontId="6" fillId="2" borderId="32" xfId="0" quotePrefix="1" applyFont="1" applyFill="1" applyBorder="1" applyAlignment="1">
      <alignment horizontal="left" vertical="top" wrapText="1"/>
    </xf>
    <xf numFmtId="0" fontId="0" fillId="2" borderId="43" xfId="0" quotePrefix="1" applyFill="1" applyBorder="1" applyAlignment="1">
      <alignment vertical="top" wrapText="1"/>
    </xf>
    <xf numFmtId="0" fontId="0" fillId="6" borderId="0" xfId="0" applyFill="1"/>
    <xf numFmtId="0" fontId="17" fillId="6" borderId="0" xfId="0" applyFont="1" applyFill="1"/>
    <xf numFmtId="0" fontId="0" fillId="6" borderId="0" xfId="0" quotePrefix="1" applyFill="1"/>
    <xf numFmtId="0" fontId="18" fillId="2" borderId="31" xfId="0" applyFont="1" applyFill="1" applyBorder="1" applyAlignment="1">
      <alignment vertical="top" wrapText="1"/>
    </xf>
    <xf numFmtId="0" fontId="0" fillId="2" borderId="43" xfId="0" applyFill="1" applyBorder="1" applyAlignment="1">
      <alignment horizontal="left" vertical="top" wrapText="1"/>
    </xf>
    <xf numFmtId="0" fontId="0" fillId="2" borderId="44" xfId="0" applyFill="1" applyBorder="1" applyAlignment="1">
      <alignment horizontal="left" vertical="top" wrapText="1"/>
    </xf>
    <xf numFmtId="0" fontId="2" fillId="2" borderId="0" xfId="0" applyFont="1" applyFill="1" applyAlignment="1">
      <alignment horizontal="center" vertical="top" wrapText="1"/>
    </xf>
    <xf numFmtId="0" fontId="0" fillId="2" borderId="0" xfId="0" applyFill="1" applyAlignment="1">
      <alignment vertical="top" wrapText="1"/>
    </xf>
    <xf numFmtId="0" fontId="6" fillId="6" borderId="25" xfId="0" applyFont="1" applyFill="1" applyBorder="1" applyAlignment="1">
      <alignment horizontal="center" vertical="top" wrapText="1"/>
    </xf>
    <xf numFmtId="0" fontId="6" fillId="6" borderId="26" xfId="0" applyFont="1" applyFill="1" applyBorder="1" applyAlignment="1">
      <alignment horizontal="center" vertical="top" wrapText="1"/>
    </xf>
    <xf numFmtId="44" fontId="6" fillId="6" borderId="26" xfId="1" applyFont="1" applyFill="1" applyBorder="1" applyAlignment="1">
      <alignment horizontal="center" vertical="top" wrapText="1"/>
    </xf>
    <xf numFmtId="0" fontId="6" fillId="6" borderId="27" xfId="0" applyFont="1" applyFill="1" applyBorder="1" applyAlignment="1">
      <alignment horizontal="center" vertical="top" wrapText="1"/>
    </xf>
    <xf numFmtId="0" fontId="0" fillId="2" borderId="0" xfId="0" applyFill="1" applyBorder="1" applyAlignment="1">
      <alignment horizontal="center" vertical="center"/>
    </xf>
    <xf numFmtId="0" fontId="11" fillId="2" borderId="0" xfId="0" applyFont="1" applyFill="1" applyAlignment="1">
      <alignment horizontal="center"/>
    </xf>
    <xf numFmtId="0" fontId="2" fillId="9" borderId="56" xfId="0" applyFont="1" applyFill="1" applyBorder="1" applyAlignment="1">
      <alignment horizontal="left" vertical="top" wrapText="1"/>
    </xf>
    <xf numFmtId="0" fontId="2" fillId="9" borderId="56" xfId="0" applyFont="1" applyFill="1" applyBorder="1" applyAlignment="1">
      <alignment horizontal="center" vertical="top" wrapText="1"/>
    </xf>
    <xf numFmtId="0" fontId="2" fillId="9" borderId="57" xfId="0" applyFont="1" applyFill="1" applyBorder="1" applyAlignment="1">
      <alignment horizontal="left" vertical="top" wrapText="1"/>
    </xf>
    <xf numFmtId="0" fontId="2" fillId="9" borderId="28" xfId="0" applyFont="1" applyFill="1" applyBorder="1" applyAlignment="1">
      <alignment horizontal="center" vertical="top" wrapText="1"/>
    </xf>
    <xf numFmtId="0" fontId="2" fillId="9" borderId="29" xfId="0" applyFont="1" applyFill="1" applyBorder="1" applyAlignment="1">
      <alignment horizontal="center" vertical="top" wrapText="1"/>
    </xf>
    <xf numFmtId="0" fontId="2" fillId="9" borderId="58" xfId="0" applyFont="1" applyFill="1" applyBorder="1" applyAlignment="1">
      <alignment horizontal="center" vertical="top" wrapText="1"/>
    </xf>
    <xf numFmtId="0" fontId="2" fillId="2" borderId="1" xfId="0" applyFont="1" applyFill="1" applyBorder="1" applyAlignment="1">
      <alignment horizontal="center" vertical="top" wrapText="1"/>
    </xf>
    <xf numFmtId="0" fontId="0" fillId="2" borderId="24" xfId="0" applyFill="1" applyBorder="1"/>
    <xf numFmtId="0" fontId="0" fillId="2" borderId="19" xfId="0" applyFill="1" applyBorder="1"/>
    <xf numFmtId="0" fontId="2" fillId="2" borderId="2" xfId="0" applyFont="1" applyFill="1" applyBorder="1" applyAlignment="1">
      <alignment horizontal="center" vertical="top" wrapText="1"/>
    </xf>
    <xf numFmtId="0" fontId="2" fillId="2" borderId="3" xfId="0" applyFont="1" applyFill="1" applyBorder="1" applyAlignment="1">
      <alignment horizontal="center" vertical="top" wrapText="1"/>
    </xf>
    <xf numFmtId="167" fontId="0" fillId="2" borderId="0" xfId="0" applyNumberFormat="1" applyFill="1" applyBorder="1"/>
    <xf numFmtId="0" fontId="2" fillId="2" borderId="6" xfId="0" applyFont="1" applyFill="1" applyBorder="1" applyAlignment="1">
      <alignment horizontal="center" vertical="top" wrapText="1"/>
    </xf>
    <xf numFmtId="166" fontId="0" fillId="2" borderId="7" xfId="0" applyNumberFormat="1" applyFill="1" applyBorder="1"/>
    <xf numFmtId="167" fontId="20" fillId="2" borderId="59" xfId="0" applyNumberFormat="1" applyFont="1" applyFill="1" applyBorder="1" applyAlignment="1">
      <alignment horizontal="center"/>
    </xf>
    <xf numFmtId="164" fontId="20" fillId="2" borderId="49" xfId="0" applyNumberFormat="1" applyFont="1" applyFill="1" applyBorder="1"/>
    <xf numFmtId="167" fontId="20" fillId="2" borderId="6" xfId="0" applyNumberFormat="1" applyFont="1" applyFill="1" applyBorder="1" applyAlignment="1">
      <alignment horizontal="center"/>
    </xf>
    <xf numFmtId="164" fontId="20" fillId="2" borderId="7" xfId="0" applyNumberFormat="1" applyFont="1" applyFill="1" applyBorder="1"/>
    <xf numFmtId="164" fontId="20" fillId="4" borderId="53" xfId="0" applyNumberFormat="1" applyFont="1" applyFill="1" applyBorder="1"/>
    <xf numFmtId="167" fontId="0" fillId="2" borderId="0" xfId="0" applyNumberFormat="1" applyFill="1"/>
    <xf numFmtId="166" fontId="0" fillId="2" borderId="0" xfId="0" applyNumberFormat="1" applyFill="1" applyBorder="1"/>
    <xf numFmtId="0" fontId="5" fillId="2" borderId="32" xfId="0" applyFont="1" applyFill="1" applyBorder="1"/>
    <xf numFmtId="0" fontId="11" fillId="15" borderId="36" xfId="0" applyFont="1" applyFill="1" applyBorder="1"/>
    <xf numFmtId="0" fontId="11" fillId="15" borderId="42" xfId="0" applyFont="1" applyFill="1" applyBorder="1" applyAlignment="1">
      <alignment horizontal="center"/>
    </xf>
    <xf numFmtId="0" fontId="15" fillId="15" borderId="42" xfId="2" applyFill="1" applyBorder="1"/>
    <xf numFmtId="0" fontId="0" fillId="15" borderId="42" xfId="0" applyFill="1" applyBorder="1"/>
    <xf numFmtId="0" fontId="0" fillId="15" borderId="43" xfId="0" applyFill="1" applyBorder="1" applyAlignment="1">
      <alignment horizontal="center" vertical="center"/>
    </xf>
    <xf numFmtId="0" fontId="0" fillId="15" borderId="44" xfId="0" applyFill="1" applyBorder="1" applyAlignment="1">
      <alignment horizontal="center" vertical="center"/>
    </xf>
    <xf numFmtId="0" fontId="11" fillId="18" borderId="36" xfId="0" applyFont="1" applyFill="1" applyBorder="1"/>
    <xf numFmtId="0" fontId="11" fillId="18" borderId="42" xfId="0" applyFont="1" applyFill="1" applyBorder="1" applyAlignment="1">
      <alignment horizontal="center"/>
    </xf>
    <xf numFmtId="0" fontId="15" fillId="18" borderId="42" xfId="2" applyFill="1" applyBorder="1"/>
    <xf numFmtId="0" fontId="0" fillId="18" borderId="42" xfId="0" applyFill="1" applyBorder="1"/>
    <xf numFmtId="0" fontId="0" fillId="18" borderId="43" xfId="0" applyFill="1" applyBorder="1" applyAlignment="1">
      <alignment horizontal="center" vertical="center"/>
    </xf>
    <xf numFmtId="0" fontId="0" fillId="18" borderId="44" xfId="0" applyFill="1" applyBorder="1" applyAlignment="1">
      <alignment horizontal="center" vertical="center"/>
    </xf>
    <xf numFmtId="0" fontId="11" fillId="19" borderId="36" xfId="0" applyFont="1" applyFill="1" applyBorder="1"/>
    <xf numFmtId="0" fontId="11" fillId="19" borderId="42" xfId="0" applyFont="1" applyFill="1" applyBorder="1" applyAlignment="1">
      <alignment horizontal="center"/>
    </xf>
    <xf numFmtId="0" fontId="15" fillId="19" borderId="42" xfId="2" applyFill="1" applyBorder="1"/>
    <xf numFmtId="0" fontId="0" fillId="19" borderId="42" xfId="0" applyFill="1" applyBorder="1"/>
    <xf numFmtId="0" fontId="0" fillId="19" borderId="43" xfId="0" applyFill="1" applyBorder="1" applyAlignment="1">
      <alignment horizontal="center" vertical="center"/>
    </xf>
    <xf numFmtId="0" fontId="0" fillId="19" borderId="44" xfId="0" applyFill="1" applyBorder="1" applyAlignment="1">
      <alignment horizontal="center" vertical="center"/>
    </xf>
    <xf numFmtId="0" fontId="0" fillId="2" borderId="1" xfId="0" applyFill="1" applyBorder="1"/>
    <xf numFmtId="0" fontId="0" fillId="4" borderId="1" xfId="0" applyFill="1" applyBorder="1" applyAlignment="1">
      <alignment horizontal="center"/>
    </xf>
    <xf numFmtId="0" fontId="0" fillId="2" borderId="61" xfId="0" applyFill="1" applyBorder="1"/>
    <xf numFmtId="0" fontId="0" fillId="2" borderId="23" xfId="0" applyFill="1" applyBorder="1"/>
    <xf numFmtId="0" fontId="0" fillId="2" borderId="52" xfId="0" applyFill="1" applyBorder="1"/>
    <xf numFmtId="166" fontId="0" fillId="4" borderId="32" xfId="0" applyNumberFormat="1" applyFill="1" applyBorder="1"/>
    <xf numFmtId="0" fontId="0" fillId="2" borderId="36" xfId="0" applyFill="1" applyBorder="1"/>
    <xf numFmtId="167" fontId="0" fillId="2" borderId="44" xfId="0" applyNumberFormat="1" applyFill="1" applyBorder="1"/>
    <xf numFmtId="167" fontId="0" fillId="2" borderId="47" xfId="0" applyNumberFormat="1" applyFill="1" applyBorder="1"/>
    <xf numFmtId="169" fontId="0" fillId="5" borderId="1" xfId="0" applyNumberFormat="1" applyFill="1" applyBorder="1"/>
    <xf numFmtId="166" fontId="0" fillId="4" borderId="1" xfId="0" applyNumberFormat="1" applyFill="1" applyBorder="1"/>
    <xf numFmtId="44" fontId="0" fillId="5" borderId="1" xfId="1" applyFont="1" applyFill="1" applyBorder="1"/>
    <xf numFmtId="168" fontId="0" fillId="5" borderId="1" xfId="1" applyNumberFormat="1" applyFont="1" applyFill="1" applyBorder="1"/>
    <xf numFmtId="175" fontId="0" fillId="5" borderId="1" xfId="0" applyNumberFormat="1" applyFill="1" applyBorder="1"/>
    <xf numFmtId="164" fontId="0" fillId="5" borderId="1" xfId="0" applyNumberFormat="1" applyFill="1" applyBorder="1"/>
    <xf numFmtId="166" fontId="0" fillId="4" borderId="8" xfId="0" applyNumberFormat="1" applyFill="1" applyBorder="1"/>
    <xf numFmtId="167" fontId="0" fillId="4" borderId="8" xfId="0" applyNumberFormat="1" applyFill="1" applyBorder="1" applyAlignment="1">
      <alignment horizontal="center"/>
    </xf>
    <xf numFmtId="174" fontId="0" fillId="4" borderId="8" xfId="0" applyNumberFormat="1" applyFill="1" applyBorder="1"/>
    <xf numFmtId="166" fontId="0" fillId="4" borderId="9" xfId="0" applyNumberFormat="1" applyFill="1" applyBorder="1"/>
    <xf numFmtId="167" fontId="0" fillId="4" borderId="9" xfId="0" applyNumberFormat="1" applyFill="1" applyBorder="1" applyAlignment="1">
      <alignment horizontal="center"/>
    </xf>
    <xf numFmtId="174" fontId="0" fillId="4" borderId="9" xfId="0" applyNumberFormat="1" applyFill="1" applyBorder="1"/>
    <xf numFmtId="44" fontId="0" fillId="5" borderId="9" xfId="1" applyFont="1" applyFill="1" applyBorder="1"/>
    <xf numFmtId="168" fontId="0" fillId="5" borderId="9" xfId="1" applyNumberFormat="1" applyFont="1" applyFill="1" applyBorder="1"/>
    <xf numFmtId="167" fontId="0" fillId="5" borderId="8" xfId="0" applyNumberFormat="1" applyFill="1" applyBorder="1"/>
    <xf numFmtId="166" fontId="0" fillId="5" borderId="8" xfId="0" applyNumberFormat="1" applyFill="1" applyBorder="1"/>
    <xf numFmtId="167" fontId="0" fillId="5" borderId="9" xfId="0" applyNumberFormat="1" applyFill="1" applyBorder="1"/>
    <xf numFmtId="166" fontId="0" fillId="5" borderId="9" xfId="0" applyNumberFormat="1" applyFill="1" applyBorder="1"/>
    <xf numFmtId="167" fontId="0" fillId="4" borderId="1" xfId="0" applyNumberFormat="1" applyFont="1" applyFill="1" applyBorder="1" applyAlignment="1">
      <alignment horizontal="center" vertical="center"/>
    </xf>
    <xf numFmtId="0" fontId="0" fillId="4" borderId="1" xfId="0" applyFont="1" applyFill="1" applyBorder="1" applyAlignment="1">
      <alignment horizontal="center" vertical="center"/>
    </xf>
    <xf numFmtId="176" fontId="0" fillId="4" borderId="1" xfId="0" applyNumberFormat="1" applyFill="1" applyBorder="1"/>
    <xf numFmtId="166" fontId="0" fillId="4" borderId="23" xfId="0" applyNumberFormat="1" applyFill="1" applyBorder="1"/>
    <xf numFmtId="0" fontId="0" fillId="4" borderId="23" xfId="0" applyFont="1" applyFill="1" applyBorder="1" applyAlignment="1">
      <alignment horizontal="center" vertical="center"/>
    </xf>
    <xf numFmtId="166" fontId="2" fillId="4" borderId="62" xfId="0" applyNumberFormat="1" applyFont="1" applyFill="1" applyBorder="1"/>
    <xf numFmtId="0" fontId="0" fillId="4" borderId="63" xfId="0" applyFill="1" applyBorder="1" applyAlignment="1">
      <alignment horizontal="center"/>
    </xf>
    <xf numFmtId="0" fontId="0" fillId="2" borderId="64" xfId="0" applyFill="1" applyBorder="1"/>
    <xf numFmtId="0" fontId="0" fillId="2" borderId="64" xfId="0" applyFill="1" applyBorder="1" applyAlignment="1">
      <alignment horizontal="right"/>
    </xf>
    <xf numFmtId="0" fontId="2" fillId="2" borderId="31" xfId="0" applyFont="1" applyFill="1" applyBorder="1" applyAlignment="1">
      <alignment horizontal="right"/>
    </xf>
    <xf numFmtId="166" fontId="2" fillId="4" borderId="65" xfId="0" applyNumberFormat="1" applyFont="1" applyFill="1" applyBorder="1"/>
    <xf numFmtId="0" fontId="11" fillId="20" borderId="36" xfId="0" applyFont="1" applyFill="1" applyBorder="1"/>
    <xf numFmtId="0" fontId="11" fillId="20" borderId="42" xfId="0" applyFont="1" applyFill="1" applyBorder="1" applyAlignment="1">
      <alignment horizontal="center"/>
    </xf>
    <xf numFmtId="0" fontId="15" fillId="20" borderId="42" xfId="2" applyFill="1" applyBorder="1"/>
    <xf numFmtId="0" fontId="0" fillId="20" borderId="42" xfId="0" applyFill="1" applyBorder="1"/>
    <xf numFmtId="0" fontId="0" fillId="20" borderId="43" xfId="0" applyFill="1" applyBorder="1" applyAlignment="1">
      <alignment horizontal="center" vertical="center"/>
    </xf>
    <xf numFmtId="0" fontId="0" fillId="20" borderId="44" xfId="0" applyFill="1" applyBorder="1" applyAlignment="1">
      <alignment horizontal="center" vertical="center"/>
    </xf>
    <xf numFmtId="167" fontId="0" fillId="2" borderId="54" xfId="0" applyNumberFormat="1" applyFill="1" applyBorder="1"/>
    <xf numFmtId="167" fontId="0" fillId="2" borderId="60" xfId="0" applyNumberFormat="1" applyFill="1" applyBorder="1"/>
    <xf numFmtId="3" fontId="0" fillId="2" borderId="42" xfId="0" applyNumberFormat="1" applyFill="1" applyBorder="1"/>
    <xf numFmtId="3" fontId="0" fillId="2" borderId="45" xfId="0" applyNumberFormat="1" applyFill="1" applyBorder="1"/>
    <xf numFmtId="177" fontId="21" fillId="2" borderId="0" xfId="0" applyNumberFormat="1" applyFont="1" applyFill="1" applyBorder="1"/>
    <xf numFmtId="167" fontId="0" fillId="2" borderId="50" xfId="0" applyNumberFormat="1" applyFill="1" applyBorder="1"/>
    <xf numFmtId="0" fontId="0" fillId="8" borderId="54" xfId="0" applyFill="1" applyBorder="1" applyAlignment="1">
      <alignment horizontal="center"/>
    </xf>
    <xf numFmtId="0" fontId="0" fillId="8" borderId="55" xfId="0" applyFill="1" applyBorder="1" applyAlignment="1">
      <alignment horizontal="center"/>
    </xf>
    <xf numFmtId="0" fontId="0" fillId="8" borderId="60" xfId="0" applyFill="1" applyBorder="1" applyAlignment="1">
      <alignment horizontal="center"/>
    </xf>
    <xf numFmtId="0" fontId="22" fillId="2" borderId="0" xfId="0" applyFont="1" applyFill="1" applyBorder="1" applyAlignment="1">
      <alignment vertical="top" wrapText="1"/>
    </xf>
    <xf numFmtId="0" fontId="0" fillId="2" borderId="54" xfId="0" applyFill="1" applyBorder="1" applyAlignment="1">
      <alignment horizontal="center"/>
    </xf>
    <xf numFmtId="0" fontId="0" fillId="2" borderId="55" xfId="0" applyFill="1" applyBorder="1" applyAlignment="1">
      <alignment horizontal="center"/>
    </xf>
    <xf numFmtId="0" fontId="0" fillId="2" borderId="60" xfId="0" applyFill="1" applyBorder="1" applyAlignment="1">
      <alignment horizontal="center"/>
    </xf>
    <xf numFmtId="0" fontId="23" fillId="2" borderId="1" xfId="4" applyFont="1" applyFill="1" applyBorder="1" applyAlignment="1" applyProtection="1">
      <alignment horizontal="right"/>
      <protection locked="0"/>
    </xf>
    <xf numFmtId="0" fontId="23" fillId="2" borderId="64" xfId="4" applyFont="1" applyFill="1" applyBorder="1" applyAlignment="1" applyProtection="1">
      <alignment horizontal="right"/>
      <protection locked="0"/>
    </xf>
    <xf numFmtId="0" fontId="23" fillId="2" borderId="66" xfId="4" applyFont="1" applyFill="1" applyBorder="1" applyAlignment="1" applyProtection="1">
      <alignment horizontal="right"/>
      <protection locked="0"/>
    </xf>
    <xf numFmtId="0" fontId="0" fillId="2" borderId="52" xfId="4" applyFont="1" applyFill="1" applyBorder="1" applyAlignment="1" applyProtection="1">
      <alignment horizontal="right"/>
      <protection locked="0"/>
    </xf>
    <xf numFmtId="166" fontId="0" fillId="2" borderId="32" xfId="0" applyNumberFormat="1" applyFill="1" applyBorder="1"/>
    <xf numFmtId="166" fontId="0" fillId="2" borderId="35" xfId="0" applyNumberFormat="1" applyFill="1" applyBorder="1"/>
    <xf numFmtId="0" fontId="0" fillId="6" borderId="28" xfId="0" applyFill="1" applyBorder="1" applyAlignment="1">
      <alignment horizontal="center" vertical="top" wrapText="1"/>
    </xf>
    <xf numFmtId="0" fontId="0" fillId="6" borderId="33" xfId="0" applyFill="1" applyBorder="1" applyAlignment="1">
      <alignment horizontal="center" vertical="top" wrapText="1"/>
    </xf>
    <xf numFmtId="166" fontId="0" fillId="2" borderId="30" xfId="0" applyNumberFormat="1" applyFill="1" applyBorder="1"/>
    <xf numFmtId="3" fontId="23" fillId="2" borderId="31" xfId="4" applyNumberFormat="1" applyFont="1" applyFill="1" applyBorder="1" applyProtection="1">
      <protection locked="0"/>
    </xf>
    <xf numFmtId="3" fontId="23" fillId="2" borderId="33" xfId="4" applyNumberFormat="1" applyFont="1" applyFill="1" applyBorder="1" applyProtection="1">
      <protection locked="0"/>
    </xf>
    <xf numFmtId="182" fontId="0" fillId="2" borderId="64" xfId="4" applyNumberFormat="1" applyFont="1" applyFill="1" applyBorder="1" applyProtection="1">
      <protection locked="0"/>
    </xf>
    <xf numFmtId="182" fontId="0" fillId="2" borderId="52" xfId="4" applyNumberFormat="1" applyFont="1" applyFill="1" applyBorder="1" applyProtection="1">
      <protection locked="0"/>
    </xf>
    <xf numFmtId="183" fontId="0" fillId="2" borderId="32" xfId="0" applyNumberFormat="1" applyFill="1" applyBorder="1"/>
    <xf numFmtId="183" fontId="0" fillId="2" borderId="35" xfId="0" applyNumberFormat="1" applyFill="1" applyBorder="1"/>
    <xf numFmtId="3" fontId="0" fillId="2" borderId="33" xfId="4" applyNumberFormat="1" applyFont="1" applyFill="1" applyBorder="1" applyProtection="1">
      <protection locked="0"/>
    </xf>
    <xf numFmtId="178" fontId="23" fillId="2" borderId="54" xfId="4" applyNumberFormat="1" applyFont="1" applyFill="1" applyBorder="1" applyAlignment="1" applyProtection="1">
      <alignment vertical="top" wrapText="1"/>
      <protection locked="0"/>
    </xf>
    <xf numFmtId="0" fontId="0" fillId="2" borderId="60" xfId="0" applyFill="1" applyBorder="1" applyAlignment="1">
      <alignment vertical="top" wrapText="1"/>
    </xf>
    <xf numFmtId="0" fontId="11" fillId="2" borderId="54" xfId="0" applyFont="1" applyFill="1" applyBorder="1" applyAlignment="1"/>
    <xf numFmtId="0" fontId="0" fillId="2" borderId="1" xfId="0" applyFill="1" applyBorder="1" applyAlignment="1">
      <alignment vertical="top" wrapText="1"/>
    </xf>
    <xf numFmtId="9" fontId="0" fillId="17" borderId="29" xfId="0" applyNumberFormat="1" applyFill="1" applyBorder="1" applyAlignment="1">
      <alignment horizontal="center"/>
    </xf>
    <xf numFmtId="9" fontId="0" fillId="17" borderId="0" xfId="0" applyNumberFormat="1" applyFill="1" applyBorder="1" applyAlignment="1">
      <alignment horizontal="center"/>
    </xf>
    <xf numFmtId="9" fontId="0" fillId="17" borderId="34" xfId="0" applyNumberFormat="1" applyFill="1" applyBorder="1" applyAlignment="1">
      <alignment horizontal="center"/>
    </xf>
    <xf numFmtId="166" fontId="0" fillId="8" borderId="55" xfId="0" applyNumberFormat="1" applyFill="1" applyBorder="1" applyAlignment="1">
      <alignment horizontal="center" vertical="top" wrapText="1"/>
    </xf>
    <xf numFmtId="166" fontId="0" fillId="8" borderId="60" xfId="0" applyNumberFormat="1" applyFill="1" applyBorder="1" applyAlignment="1">
      <alignment horizontal="center" vertical="top" wrapText="1"/>
    </xf>
    <xf numFmtId="0" fontId="0" fillId="6" borderId="1" xfId="0" applyFill="1" applyBorder="1" applyAlignment="1">
      <alignment vertical="top" wrapText="1"/>
    </xf>
    <xf numFmtId="0" fontId="0" fillId="21" borderId="67" xfId="0" applyFill="1" applyBorder="1" applyAlignment="1">
      <alignment vertical="top" wrapText="1"/>
    </xf>
    <xf numFmtId="0" fontId="0" fillId="2" borderId="68" xfId="0" applyFill="1" applyBorder="1" applyAlignment="1">
      <alignment vertical="top" wrapText="1"/>
    </xf>
    <xf numFmtId="3" fontId="23" fillId="8" borderId="69" xfId="4" applyNumberFormat="1" applyFont="1" applyFill="1" applyBorder="1" applyProtection="1">
      <protection locked="0"/>
    </xf>
    <xf numFmtId="182" fontId="0" fillId="2" borderId="70" xfId="4" applyNumberFormat="1" applyFont="1" applyFill="1" applyBorder="1" applyProtection="1">
      <protection locked="0"/>
    </xf>
    <xf numFmtId="3" fontId="23" fillId="8" borderId="51" xfId="4" applyNumberFormat="1" applyFont="1" applyFill="1" applyBorder="1" applyProtection="1">
      <protection locked="0"/>
    </xf>
    <xf numFmtId="3" fontId="23" fillId="8" borderId="71" xfId="4" applyNumberFormat="1" applyFont="1" applyFill="1" applyBorder="1" applyProtection="1">
      <protection locked="0"/>
    </xf>
    <xf numFmtId="182" fontId="0" fillId="2" borderId="72" xfId="4" applyNumberFormat="1" applyFont="1" applyFill="1" applyBorder="1" applyProtection="1">
      <protection locked="0"/>
    </xf>
    <xf numFmtId="3" fontId="23" fillId="2" borderId="73" xfId="4" applyNumberFormat="1" applyFont="1" applyFill="1" applyBorder="1" applyProtection="1">
      <protection locked="0"/>
    </xf>
    <xf numFmtId="9" fontId="0" fillId="2" borderId="74" xfId="3" applyFont="1" applyFill="1" applyBorder="1" applyAlignment="1">
      <alignment horizontal="center"/>
    </xf>
    <xf numFmtId="166" fontId="0" fillId="2" borderId="75" xfId="0" applyNumberFormat="1" applyFill="1" applyBorder="1"/>
    <xf numFmtId="0" fontId="0" fillId="2" borderId="74" xfId="0" applyFill="1" applyBorder="1"/>
    <xf numFmtId="0" fontId="0" fillId="2" borderId="76" xfId="0" applyFill="1" applyBorder="1"/>
    <xf numFmtId="3" fontId="23" fillId="2" borderId="77" xfId="4" applyNumberFormat="1" applyFont="1" applyFill="1" applyBorder="1" applyProtection="1">
      <protection locked="0"/>
    </xf>
    <xf numFmtId="9" fontId="0" fillId="2" borderId="78" xfId="3" applyFont="1" applyFill="1" applyBorder="1" applyAlignment="1">
      <alignment horizontal="center"/>
    </xf>
    <xf numFmtId="166" fontId="0" fillId="2" borderId="79" xfId="0" applyNumberFormat="1" applyFill="1" applyBorder="1"/>
    <xf numFmtId="166" fontId="0" fillId="2" borderId="60" xfId="0" applyNumberFormat="1" applyFill="1" applyBorder="1" applyAlignment="1">
      <alignment vertical="top" wrapText="1"/>
    </xf>
    <xf numFmtId="0" fontId="0" fillId="2" borderId="43" xfId="0" quotePrefix="1" applyFill="1" applyBorder="1" applyAlignment="1">
      <alignment horizontal="left" vertical="top" wrapText="1"/>
    </xf>
    <xf numFmtId="0" fontId="6" fillId="2" borderId="32" xfId="0" applyFont="1" applyFill="1" applyBorder="1" applyAlignment="1">
      <alignment vertical="top" wrapText="1"/>
    </xf>
    <xf numFmtId="170" fontId="0" fillId="4" borderId="5" xfId="0" applyNumberFormat="1" applyFill="1" applyBorder="1"/>
    <xf numFmtId="0" fontId="6" fillId="2" borderId="14" xfId="0" applyFont="1" applyFill="1" applyBorder="1" applyAlignment="1">
      <alignment horizontal="left" vertical="top" wrapText="1"/>
    </xf>
    <xf numFmtId="0" fontId="6" fillId="2" borderId="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6" fillId="2" borderId="15" xfId="0" applyFont="1" applyFill="1" applyBorder="1" applyAlignment="1">
      <alignment horizontal="left" vertical="top" wrapText="1"/>
    </xf>
    <xf numFmtId="0" fontId="6" fillId="2" borderId="16" xfId="0" applyFont="1" applyFill="1" applyBorder="1" applyAlignment="1">
      <alignment horizontal="left" vertical="top" wrapText="1"/>
    </xf>
    <xf numFmtId="0" fontId="6" fillId="2" borderId="17" xfId="0" applyFont="1" applyFill="1" applyBorder="1" applyAlignment="1">
      <alignment horizontal="left" vertical="top" wrapText="1"/>
    </xf>
    <xf numFmtId="0" fontId="6" fillId="2" borderId="18" xfId="0" applyFont="1" applyFill="1" applyBorder="1" applyAlignment="1">
      <alignment horizontal="left" vertical="top" wrapText="1"/>
    </xf>
    <xf numFmtId="0" fontId="0" fillId="2" borderId="31" xfId="0" applyFill="1" applyBorder="1" applyAlignment="1">
      <alignment vertical="center"/>
    </xf>
    <xf numFmtId="0" fontId="0" fillId="2" borderId="31" xfId="0" applyFont="1" applyFill="1" applyBorder="1" applyAlignment="1">
      <alignment vertical="center"/>
    </xf>
    <xf numFmtId="0" fontId="0" fillId="6" borderId="28" xfId="0" applyFill="1" applyBorder="1"/>
    <xf numFmtId="0" fontId="0" fillId="6" borderId="30" xfId="0" applyFill="1" applyBorder="1"/>
    <xf numFmtId="0" fontId="0" fillId="6" borderId="31" xfId="0" applyFill="1" applyBorder="1"/>
    <xf numFmtId="0" fontId="0" fillId="6" borderId="32" xfId="0" applyFill="1" applyBorder="1"/>
    <xf numFmtId="0" fontId="0" fillId="6" borderId="33" xfId="0" applyFill="1" applyBorder="1"/>
    <xf numFmtId="0" fontId="0" fillId="6" borderId="35" xfId="0" applyFill="1" applyBorder="1"/>
    <xf numFmtId="44" fontId="16" fillId="6" borderId="26" xfId="1" applyFont="1" applyFill="1" applyBorder="1" applyAlignment="1">
      <alignment vertical="top" wrapText="1"/>
    </xf>
    <xf numFmtId="44" fontId="1" fillId="6" borderId="26" xfId="1" applyFont="1" applyFill="1" applyBorder="1" applyAlignment="1">
      <alignment vertical="top" wrapText="1"/>
    </xf>
    <xf numFmtId="0" fontId="0" fillId="2" borderId="31" xfId="0" applyFill="1" applyBorder="1" applyAlignment="1">
      <alignment vertical="top"/>
    </xf>
    <xf numFmtId="0" fontId="0" fillId="2" borderId="80" xfId="0" applyFill="1" applyBorder="1"/>
    <xf numFmtId="9" fontId="10" fillId="17" borderId="0" xfId="3" applyFont="1" applyFill="1" applyBorder="1"/>
    <xf numFmtId="0" fontId="0" fillId="17" borderId="0" xfId="0" applyFill="1" applyBorder="1"/>
    <xf numFmtId="0" fontId="0" fillId="4" borderId="67" xfId="0" applyFill="1" applyBorder="1" applyAlignment="1">
      <alignment horizontal="center" vertical="top"/>
    </xf>
    <xf numFmtId="0" fontId="0" fillId="4" borderId="55" xfId="0" applyFill="1" applyBorder="1" applyAlignment="1">
      <alignment horizontal="center" vertical="top"/>
    </xf>
    <xf numFmtId="0" fontId="0" fillId="4" borderId="81" xfId="0" applyFill="1" applyBorder="1" applyAlignment="1">
      <alignment horizontal="center" vertical="top"/>
    </xf>
    <xf numFmtId="0" fontId="0" fillId="22" borderId="67" xfId="0" applyFill="1" applyBorder="1" applyAlignment="1">
      <alignment horizontal="center" vertical="top"/>
    </xf>
    <xf numFmtId="0" fontId="0" fillId="22" borderId="55" xfId="0" applyFill="1" applyBorder="1" applyAlignment="1">
      <alignment horizontal="center" vertical="top"/>
    </xf>
    <xf numFmtId="0" fontId="0" fillId="22" borderId="60" xfId="0" applyFill="1" applyBorder="1" applyAlignment="1">
      <alignment horizontal="center" vertical="top"/>
    </xf>
    <xf numFmtId="183" fontId="0" fillId="2" borderId="0" xfId="0" applyNumberFormat="1" applyFill="1" applyBorder="1"/>
    <xf numFmtId="176" fontId="0" fillId="4" borderId="1" xfId="0" applyNumberFormat="1" applyFill="1" applyBorder="1" applyAlignment="1">
      <alignment horizontal="center"/>
    </xf>
    <xf numFmtId="9" fontId="0" fillId="4" borderId="1" xfId="3" applyFont="1" applyFill="1" applyBorder="1" applyAlignment="1">
      <alignment horizontal="center"/>
    </xf>
    <xf numFmtId="176" fontId="0" fillId="4" borderId="1" xfId="3" applyNumberFormat="1" applyFont="1" applyFill="1" applyBorder="1" applyAlignment="1">
      <alignment horizontal="center"/>
    </xf>
    <xf numFmtId="0" fontId="3" fillId="16" borderId="32" xfId="0" applyFont="1" applyFill="1" applyBorder="1" applyAlignment="1">
      <alignment horizontal="center" vertical="center" textRotation="90"/>
    </xf>
    <xf numFmtId="0" fontId="2" fillId="2" borderId="31" xfId="0" applyFont="1" applyFill="1" applyBorder="1" applyAlignment="1">
      <alignment vertical="top"/>
    </xf>
    <xf numFmtId="0" fontId="2" fillId="2" borderId="28" xfId="0" applyFont="1" applyFill="1" applyBorder="1" applyAlignment="1">
      <alignment vertical="top" wrapText="1"/>
    </xf>
    <xf numFmtId="0" fontId="2" fillId="2" borderId="29" xfId="0" applyFont="1" applyFill="1" applyBorder="1" applyAlignment="1">
      <alignment vertical="top"/>
    </xf>
    <xf numFmtId="0" fontId="2" fillId="2" borderId="30" xfId="0" applyFont="1" applyFill="1" applyBorder="1" applyAlignment="1">
      <alignment vertical="top"/>
    </xf>
    <xf numFmtId="0" fontId="2" fillId="2" borderId="0" xfId="0" applyFont="1" applyFill="1" applyBorder="1" applyAlignment="1">
      <alignment vertical="top"/>
    </xf>
    <xf numFmtId="0" fontId="2" fillId="2" borderId="32" xfId="0" applyFont="1" applyFill="1" applyBorder="1" applyAlignment="1">
      <alignment vertical="top"/>
    </xf>
    <xf numFmtId="0" fontId="2" fillId="2" borderId="33" xfId="0" applyFont="1" applyFill="1" applyBorder="1" applyAlignment="1">
      <alignment vertical="top"/>
    </xf>
    <xf numFmtId="0" fontId="2" fillId="2" borderId="34" xfId="0" applyFont="1" applyFill="1" applyBorder="1" applyAlignment="1">
      <alignment vertical="top"/>
    </xf>
    <xf numFmtId="0" fontId="2" fillId="2" borderId="35" xfId="0" applyFont="1" applyFill="1" applyBorder="1" applyAlignment="1">
      <alignment vertical="top"/>
    </xf>
  </cellXfs>
  <cellStyles count="6">
    <cellStyle name="=C:\WINNT\SYSTEM32\COMMAND.COM" xfId="4" xr:uid="{F990D7B4-DAD1-4490-9F03-BE0249D29284}"/>
    <cellStyle name="Komma 2" xfId="5" xr:uid="{328D5C2B-9430-437C-BB2A-FA7E2E1C105C}"/>
    <cellStyle name="Link" xfId="2" builtinId="8"/>
    <cellStyle name="Prozent" xfId="3" builtinId="5"/>
    <cellStyle name="Standard" xfId="0" builtinId="0"/>
    <cellStyle name="Währung" xfId="1" builtinId="4"/>
  </cellStyles>
  <dxfs count="0"/>
  <tableStyles count="0" defaultTableStyle="TableStyleMedium2" defaultPivotStyle="PivotStyleLight16"/>
  <colors>
    <mruColors>
      <color rgb="FFFBFBFB"/>
      <color rgb="FFF1F8EC"/>
      <color rgb="FFFFF6DD"/>
      <color rgb="FFEBF0F9"/>
      <color rgb="FFFFCCFF"/>
      <color rgb="FFFFFF99"/>
      <color rgb="FFFFFFCC"/>
      <color rgb="FF99FF99"/>
      <color rgb="FFFF9900"/>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666750</xdr:colOff>
      <xdr:row>4</xdr:row>
      <xdr:rowOff>28575</xdr:rowOff>
    </xdr:from>
    <xdr:to>
      <xdr:col>17</xdr:col>
      <xdr:colOff>742950</xdr:colOff>
      <xdr:row>24</xdr:row>
      <xdr:rowOff>85725</xdr:rowOff>
    </xdr:to>
    <xdr:sp macro="" textlink="">
      <xdr:nvSpPr>
        <xdr:cNvPr id="22" name="Rechteck 21">
          <a:extLst>
            <a:ext uri="{FF2B5EF4-FFF2-40B4-BE49-F238E27FC236}">
              <a16:creationId xmlns:a16="http://schemas.microsoft.com/office/drawing/2014/main" id="{8B8DE570-C310-4698-B38A-608452617128}"/>
            </a:ext>
          </a:extLst>
        </xdr:cNvPr>
        <xdr:cNvSpPr/>
      </xdr:nvSpPr>
      <xdr:spPr>
        <a:xfrm>
          <a:off x="1428750" y="790575"/>
          <a:ext cx="12268200" cy="3867150"/>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de-DE" sz="1400" b="1">
              <a:solidFill>
                <a:schemeClr val="tx1"/>
              </a:solidFill>
            </a:rPr>
            <a:t>Calculation Prio 3</a:t>
          </a:r>
        </a:p>
        <a:p>
          <a:pPr algn="ctr"/>
          <a:r>
            <a:rPr lang="de-DE" sz="1400" b="1">
              <a:solidFill>
                <a:schemeClr val="tx1"/>
              </a:solidFill>
            </a:rPr>
            <a:t>[revenue/unit</a:t>
          </a:r>
          <a:r>
            <a:rPr lang="de-DE" sz="1400" b="1" baseline="0">
              <a:solidFill>
                <a:schemeClr val="tx1"/>
              </a:solidFill>
            </a:rPr>
            <a:t> commitment over all services or selected services]</a:t>
          </a:r>
          <a:endParaRPr lang="de-DE" sz="1400" b="1">
            <a:solidFill>
              <a:schemeClr val="tx1"/>
            </a:solidFill>
          </a:endParaRPr>
        </a:p>
      </xdr:txBody>
    </xdr:sp>
    <xdr:clientData/>
  </xdr:twoCellAnchor>
  <xdr:twoCellAnchor>
    <xdr:from>
      <xdr:col>2</xdr:col>
      <xdr:colOff>438149</xdr:colOff>
      <xdr:row>10</xdr:row>
      <xdr:rowOff>161924</xdr:rowOff>
    </xdr:from>
    <xdr:to>
      <xdr:col>6</xdr:col>
      <xdr:colOff>28574</xdr:colOff>
      <xdr:row>22</xdr:row>
      <xdr:rowOff>35924</xdr:rowOff>
    </xdr:to>
    <xdr:sp macro="" textlink="">
      <xdr:nvSpPr>
        <xdr:cNvPr id="10" name="Rechteck 9">
          <a:extLst>
            <a:ext uri="{FF2B5EF4-FFF2-40B4-BE49-F238E27FC236}">
              <a16:creationId xmlns:a16="http://schemas.microsoft.com/office/drawing/2014/main" id="{82A81BC9-5CB6-47BB-97BD-D34A2C067DAF}"/>
            </a:ext>
          </a:extLst>
        </xdr:cNvPr>
        <xdr:cNvSpPr/>
      </xdr:nvSpPr>
      <xdr:spPr>
        <a:xfrm>
          <a:off x="1962149" y="2066924"/>
          <a:ext cx="2638425" cy="2160000"/>
        </a:xfrm>
        <a:prstGeom prst="rect">
          <a:avLst/>
        </a:prstGeom>
        <a:solidFill>
          <a:schemeClr val="accent1">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MOC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 based</a:t>
          </a:r>
        </a:p>
      </xdr:txBody>
    </xdr:sp>
    <xdr:clientData/>
  </xdr:twoCellAnchor>
  <xdr:twoCellAnchor>
    <xdr:from>
      <xdr:col>2</xdr:col>
      <xdr:colOff>438150</xdr:colOff>
      <xdr:row>8</xdr:row>
      <xdr:rowOff>171450</xdr:rowOff>
    </xdr:from>
    <xdr:to>
      <xdr:col>6</xdr:col>
      <xdr:colOff>47625</xdr:colOff>
      <xdr:row>10</xdr:row>
      <xdr:rowOff>85725</xdr:rowOff>
    </xdr:to>
    <xdr:sp macro="" textlink="">
      <xdr:nvSpPr>
        <xdr:cNvPr id="2" name="Rechteck 1">
          <a:extLst>
            <a:ext uri="{FF2B5EF4-FFF2-40B4-BE49-F238E27FC236}">
              <a16:creationId xmlns:a16="http://schemas.microsoft.com/office/drawing/2014/main" id="{B2B97ADF-A253-45A1-B158-2E8CE0BB0438}"/>
            </a:ext>
          </a:extLst>
        </xdr:cNvPr>
        <xdr:cNvSpPr/>
      </xdr:nvSpPr>
      <xdr:spPr>
        <a:xfrm>
          <a:off x="1962150" y="1695450"/>
          <a:ext cx="2657475" cy="295275"/>
        </a:xfrm>
        <a:prstGeom prst="rect">
          <a:avLst/>
        </a:prstGeom>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t>MOC</a:t>
          </a:r>
        </a:p>
      </xdr:txBody>
    </xdr:sp>
    <xdr:clientData/>
  </xdr:twoCellAnchor>
  <xdr:twoCellAnchor>
    <xdr:from>
      <xdr:col>3</xdr:col>
      <xdr:colOff>57150</xdr:colOff>
      <xdr:row>14</xdr:row>
      <xdr:rowOff>38100</xdr:rowOff>
    </xdr:from>
    <xdr:to>
      <xdr:col>5</xdr:col>
      <xdr:colOff>457200</xdr:colOff>
      <xdr:row>20</xdr:row>
      <xdr:rowOff>0</xdr:rowOff>
    </xdr:to>
    <xdr:sp macro="" textlink="">
      <xdr:nvSpPr>
        <xdr:cNvPr id="8" name="Rechteck 7">
          <a:extLst>
            <a:ext uri="{FF2B5EF4-FFF2-40B4-BE49-F238E27FC236}">
              <a16:creationId xmlns:a16="http://schemas.microsoft.com/office/drawing/2014/main" id="{B3405B94-6AE9-4F8F-ACAD-3D6F4EC4C244}"/>
            </a:ext>
          </a:extLst>
        </xdr:cNvPr>
        <xdr:cNvSpPr/>
      </xdr:nvSpPr>
      <xdr:spPr>
        <a:xfrm>
          <a:off x="2343150" y="2705100"/>
          <a:ext cx="1924050" cy="1104900"/>
        </a:xfrm>
        <a:prstGeom prst="rect">
          <a:avLst/>
        </a:prstGeom>
        <a:solidFill>
          <a:schemeClr val="accent1">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MOC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LBI, Baseline, BackToFirst, BalancedUnbalanced]</a:t>
          </a:r>
        </a:p>
      </xdr:txBody>
    </xdr:sp>
    <xdr:clientData/>
  </xdr:twoCellAnchor>
  <xdr:twoCellAnchor>
    <xdr:from>
      <xdr:col>6</xdr:col>
      <xdr:colOff>380999</xdr:colOff>
      <xdr:row>10</xdr:row>
      <xdr:rowOff>152398</xdr:rowOff>
    </xdr:from>
    <xdr:to>
      <xdr:col>9</xdr:col>
      <xdr:colOff>733424</xdr:colOff>
      <xdr:row>22</xdr:row>
      <xdr:rowOff>26398</xdr:rowOff>
    </xdr:to>
    <xdr:sp macro="" textlink="">
      <xdr:nvSpPr>
        <xdr:cNvPr id="13" name="Rechteck 12">
          <a:extLst>
            <a:ext uri="{FF2B5EF4-FFF2-40B4-BE49-F238E27FC236}">
              <a16:creationId xmlns:a16="http://schemas.microsoft.com/office/drawing/2014/main" id="{ABE24228-85DD-4E9B-BD50-5B5231FBCC13}"/>
            </a:ext>
          </a:extLst>
        </xdr:cNvPr>
        <xdr:cNvSpPr/>
      </xdr:nvSpPr>
      <xdr:spPr>
        <a:xfrm>
          <a:off x="4952999" y="2057398"/>
          <a:ext cx="2638425" cy="2160000"/>
        </a:xfrm>
        <a:prstGeom prst="rect">
          <a:avLst/>
        </a:prstGeom>
        <a:solidFill>
          <a:schemeClr val="bg1">
            <a:lumMod val="75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MTC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 based</a:t>
          </a:r>
        </a:p>
      </xdr:txBody>
    </xdr:sp>
    <xdr:clientData/>
  </xdr:twoCellAnchor>
  <xdr:twoCellAnchor>
    <xdr:from>
      <xdr:col>6</xdr:col>
      <xdr:colOff>381000</xdr:colOff>
      <xdr:row>8</xdr:row>
      <xdr:rowOff>161925</xdr:rowOff>
    </xdr:from>
    <xdr:to>
      <xdr:col>9</xdr:col>
      <xdr:colOff>752475</xdr:colOff>
      <xdr:row>10</xdr:row>
      <xdr:rowOff>76200</xdr:rowOff>
    </xdr:to>
    <xdr:sp macro="" textlink="">
      <xdr:nvSpPr>
        <xdr:cNvPr id="14" name="Rechteck 13">
          <a:extLst>
            <a:ext uri="{FF2B5EF4-FFF2-40B4-BE49-F238E27FC236}">
              <a16:creationId xmlns:a16="http://schemas.microsoft.com/office/drawing/2014/main" id="{F6892573-410F-4495-BBB2-D6429C6CB092}"/>
            </a:ext>
          </a:extLst>
        </xdr:cNvPr>
        <xdr:cNvSpPr/>
      </xdr:nvSpPr>
      <xdr:spPr>
        <a:xfrm>
          <a:off x="4953000" y="1685925"/>
          <a:ext cx="2657475" cy="295275"/>
        </a:xfrm>
        <a:prstGeom prst="rect">
          <a:avLst/>
        </a:prstGeom>
        <a:solidFill>
          <a:schemeClr val="tx1">
            <a:lumMod val="50000"/>
            <a:lumOff val="50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t>MTC</a:t>
          </a:r>
        </a:p>
      </xdr:txBody>
    </xdr:sp>
    <xdr:clientData/>
  </xdr:twoCellAnchor>
  <xdr:twoCellAnchor>
    <xdr:from>
      <xdr:col>7</xdr:col>
      <xdr:colOff>0</xdr:colOff>
      <xdr:row>14</xdr:row>
      <xdr:rowOff>28575</xdr:rowOff>
    </xdr:from>
    <xdr:to>
      <xdr:col>9</xdr:col>
      <xdr:colOff>400050</xdr:colOff>
      <xdr:row>19</xdr:row>
      <xdr:rowOff>180975</xdr:rowOff>
    </xdr:to>
    <xdr:sp macro="" textlink="">
      <xdr:nvSpPr>
        <xdr:cNvPr id="15" name="Rechteck 14">
          <a:extLst>
            <a:ext uri="{FF2B5EF4-FFF2-40B4-BE49-F238E27FC236}">
              <a16:creationId xmlns:a16="http://schemas.microsoft.com/office/drawing/2014/main" id="{D013B8DB-F13C-4359-9C86-F72B619A8A26}"/>
            </a:ext>
          </a:extLst>
        </xdr:cNvPr>
        <xdr:cNvSpPr/>
      </xdr:nvSpPr>
      <xdr:spPr>
        <a:xfrm>
          <a:off x="5334000" y="2695575"/>
          <a:ext cx="1924050" cy="1104900"/>
        </a:xfrm>
        <a:prstGeom prst="rect">
          <a:avLst/>
        </a:prstGeom>
        <a:solidFill>
          <a:schemeClr val="bg1">
            <a:lumMod val="95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MTC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10</xdr:col>
      <xdr:colOff>238124</xdr:colOff>
      <xdr:row>10</xdr:row>
      <xdr:rowOff>142873</xdr:rowOff>
    </xdr:from>
    <xdr:to>
      <xdr:col>13</xdr:col>
      <xdr:colOff>590549</xdr:colOff>
      <xdr:row>22</xdr:row>
      <xdr:rowOff>16873</xdr:rowOff>
    </xdr:to>
    <xdr:sp macro="" textlink="">
      <xdr:nvSpPr>
        <xdr:cNvPr id="16" name="Rechteck 15">
          <a:extLst>
            <a:ext uri="{FF2B5EF4-FFF2-40B4-BE49-F238E27FC236}">
              <a16:creationId xmlns:a16="http://schemas.microsoft.com/office/drawing/2014/main" id="{9E5716ED-7D6A-41BE-8675-4108D95A525C}"/>
            </a:ext>
          </a:extLst>
        </xdr:cNvPr>
        <xdr:cNvSpPr/>
      </xdr:nvSpPr>
      <xdr:spPr>
        <a:xfrm>
          <a:off x="7858124" y="2047873"/>
          <a:ext cx="2638425" cy="2160000"/>
        </a:xfrm>
        <a:prstGeom prst="rect">
          <a:avLst/>
        </a:prstGeom>
        <a:solidFill>
          <a:schemeClr val="accent4">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SMS</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 based</a:t>
          </a:r>
        </a:p>
      </xdr:txBody>
    </xdr:sp>
    <xdr:clientData/>
  </xdr:twoCellAnchor>
  <xdr:twoCellAnchor>
    <xdr:from>
      <xdr:col>10</xdr:col>
      <xdr:colOff>238125</xdr:colOff>
      <xdr:row>8</xdr:row>
      <xdr:rowOff>152400</xdr:rowOff>
    </xdr:from>
    <xdr:to>
      <xdr:col>13</xdr:col>
      <xdr:colOff>609600</xdr:colOff>
      <xdr:row>10</xdr:row>
      <xdr:rowOff>66675</xdr:rowOff>
    </xdr:to>
    <xdr:sp macro="" textlink="">
      <xdr:nvSpPr>
        <xdr:cNvPr id="17" name="Rechteck 16">
          <a:extLst>
            <a:ext uri="{FF2B5EF4-FFF2-40B4-BE49-F238E27FC236}">
              <a16:creationId xmlns:a16="http://schemas.microsoft.com/office/drawing/2014/main" id="{A1FF796F-4245-41BE-91E3-6E1DD63DF898}"/>
            </a:ext>
          </a:extLst>
        </xdr:cNvPr>
        <xdr:cNvSpPr/>
      </xdr:nvSpPr>
      <xdr:spPr>
        <a:xfrm>
          <a:off x="7858125" y="1676400"/>
          <a:ext cx="2657475" cy="295275"/>
        </a:xfrm>
        <a:prstGeom prst="rect">
          <a:avLst/>
        </a:prstGeom>
        <a:solidFill>
          <a:schemeClr val="accent4">
            <a:lumMod val="60000"/>
            <a:lumOff val="40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tx1">
                  <a:lumMod val="50000"/>
                  <a:lumOff val="50000"/>
                </a:schemeClr>
              </a:solidFill>
            </a:rPr>
            <a:t>SMS</a:t>
          </a:r>
        </a:p>
      </xdr:txBody>
    </xdr:sp>
    <xdr:clientData/>
  </xdr:twoCellAnchor>
  <xdr:twoCellAnchor>
    <xdr:from>
      <xdr:col>10</xdr:col>
      <xdr:colOff>628650</xdr:colOff>
      <xdr:row>14</xdr:row>
      <xdr:rowOff>38100</xdr:rowOff>
    </xdr:from>
    <xdr:to>
      <xdr:col>13</xdr:col>
      <xdr:colOff>266700</xdr:colOff>
      <xdr:row>20</xdr:row>
      <xdr:rowOff>0</xdr:rowOff>
    </xdr:to>
    <xdr:sp macro="" textlink="">
      <xdr:nvSpPr>
        <xdr:cNvPr id="18" name="Rechteck 17">
          <a:extLst>
            <a:ext uri="{FF2B5EF4-FFF2-40B4-BE49-F238E27FC236}">
              <a16:creationId xmlns:a16="http://schemas.microsoft.com/office/drawing/2014/main" id="{0E5E6039-D0D6-4E2B-BF9F-AE69C096FE31}"/>
            </a:ext>
          </a:extLst>
        </xdr:cNvPr>
        <xdr:cNvSpPr/>
      </xdr:nvSpPr>
      <xdr:spPr>
        <a:xfrm>
          <a:off x="8248650" y="2705100"/>
          <a:ext cx="1924050" cy="1104900"/>
        </a:xfrm>
        <a:prstGeom prst="rect">
          <a:avLst/>
        </a:prstGeom>
        <a:solidFill>
          <a:schemeClr val="accent4">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SMS</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14</xdr:col>
      <xdr:colOff>85724</xdr:colOff>
      <xdr:row>10</xdr:row>
      <xdr:rowOff>123823</xdr:rowOff>
    </xdr:from>
    <xdr:to>
      <xdr:col>17</xdr:col>
      <xdr:colOff>438149</xdr:colOff>
      <xdr:row>21</xdr:row>
      <xdr:rowOff>188323</xdr:rowOff>
    </xdr:to>
    <xdr:sp macro="" textlink="">
      <xdr:nvSpPr>
        <xdr:cNvPr id="19" name="Rechteck 18">
          <a:extLst>
            <a:ext uri="{FF2B5EF4-FFF2-40B4-BE49-F238E27FC236}">
              <a16:creationId xmlns:a16="http://schemas.microsoft.com/office/drawing/2014/main" id="{40EC4D0F-FC37-4240-8ADB-8592AAA9A04E}"/>
            </a:ext>
          </a:extLst>
        </xdr:cNvPr>
        <xdr:cNvSpPr/>
      </xdr:nvSpPr>
      <xdr:spPr>
        <a:xfrm>
          <a:off x="10753724" y="2028823"/>
          <a:ext cx="2638425" cy="2160000"/>
        </a:xfrm>
        <a:prstGeom prst="rect">
          <a:avLst/>
        </a:prstGeom>
        <a:solidFill>
          <a:schemeClr val="accent6">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volumes based</a:t>
          </a:r>
        </a:p>
      </xdr:txBody>
    </xdr:sp>
    <xdr:clientData/>
  </xdr:twoCellAnchor>
  <xdr:twoCellAnchor>
    <xdr:from>
      <xdr:col>14</xdr:col>
      <xdr:colOff>85725</xdr:colOff>
      <xdr:row>8</xdr:row>
      <xdr:rowOff>133350</xdr:rowOff>
    </xdr:from>
    <xdr:to>
      <xdr:col>17</xdr:col>
      <xdr:colOff>457200</xdr:colOff>
      <xdr:row>10</xdr:row>
      <xdr:rowOff>47625</xdr:rowOff>
    </xdr:to>
    <xdr:sp macro="" textlink="">
      <xdr:nvSpPr>
        <xdr:cNvPr id="20" name="Rechteck 19">
          <a:extLst>
            <a:ext uri="{FF2B5EF4-FFF2-40B4-BE49-F238E27FC236}">
              <a16:creationId xmlns:a16="http://schemas.microsoft.com/office/drawing/2014/main" id="{6541A784-5D9C-4AF7-B8DE-B5736360FBB2}"/>
            </a:ext>
          </a:extLst>
        </xdr:cNvPr>
        <xdr:cNvSpPr/>
      </xdr:nvSpPr>
      <xdr:spPr>
        <a:xfrm>
          <a:off x="10753725" y="1657350"/>
          <a:ext cx="2657475" cy="295275"/>
        </a:xfrm>
        <a:prstGeom prst="rect">
          <a:avLst/>
        </a:prstGeom>
        <a:solidFill>
          <a:schemeClr val="accent6">
            <a:lumMod val="75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bg1"/>
              </a:solidFill>
            </a:rPr>
            <a:t>DATA (all/human)</a:t>
          </a:r>
        </a:p>
      </xdr:txBody>
    </xdr:sp>
    <xdr:clientData/>
  </xdr:twoCellAnchor>
  <xdr:twoCellAnchor>
    <xdr:from>
      <xdr:col>14</xdr:col>
      <xdr:colOff>447675</xdr:colOff>
      <xdr:row>14</xdr:row>
      <xdr:rowOff>38100</xdr:rowOff>
    </xdr:from>
    <xdr:to>
      <xdr:col>17</xdr:col>
      <xdr:colOff>85725</xdr:colOff>
      <xdr:row>20</xdr:row>
      <xdr:rowOff>0</xdr:rowOff>
    </xdr:to>
    <xdr:sp macro="" textlink="">
      <xdr:nvSpPr>
        <xdr:cNvPr id="21" name="Rechteck 20">
          <a:extLst>
            <a:ext uri="{FF2B5EF4-FFF2-40B4-BE49-F238E27FC236}">
              <a16:creationId xmlns:a16="http://schemas.microsoft.com/office/drawing/2014/main" id="{71D48FEF-DF98-4475-8E21-DA99D4C3965B}"/>
            </a:ext>
          </a:extLst>
        </xdr:cNvPr>
        <xdr:cNvSpPr/>
      </xdr:nvSpPr>
      <xdr:spPr>
        <a:xfrm>
          <a:off x="11115675" y="2705100"/>
          <a:ext cx="1924050" cy="1104900"/>
        </a:xfrm>
        <a:prstGeom prst="rect">
          <a:avLst/>
        </a:prstGeom>
        <a:solidFill>
          <a:schemeClr val="accent6">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0</xdr:col>
      <xdr:colOff>714375</xdr:colOff>
      <xdr:row>4</xdr:row>
      <xdr:rowOff>19051</xdr:rowOff>
    </xdr:from>
    <xdr:to>
      <xdr:col>1</xdr:col>
      <xdr:colOff>514350</xdr:colOff>
      <xdr:row>24</xdr:row>
      <xdr:rowOff>114301</xdr:rowOff>
    </xdr:to>
    <xdr:sp macro="" textlink="">
      <xdr:nvSpPr>
        <xdr:cNvPr id="23" name="Rechteck 22">
          <a:extLst>
            <a:ext uri="{FF2B5EF4-FFF2-40B4-BE49-F238E27FC236}">
              <a16:creationId xmlns:a16="http://schemas.microsoft.com/office/drawing/2014/main" id="{1730956F-2B52-4FDB-B0CD-4371BB1A910B}"/>
            </a:ext>
          </a:extLst>
        </xdr:cNvPr>
        <xdr:cNvSpPr/>
      </xdr:nvSpPr>
      <xdr:spPr>
        <a:xfrm rot="16200000">
          <a:off x="-957262" y="2452688"/>
          <a:ext cx="3905250" cy="561975"/>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de-DE" sz="1400" b="1">
              <a:solidFill>
                <a:schemeClr val="tx1"/>
              </a:solidFill>
            </a:rPr>
            <a:t>Classical</a:t>
          </a:r>
          <a:r>
            <a:rPr lang="de-DE" sz="1400" b="1" baseline="0">
              <a:solidFill>
                <a:schemeClr val="tx1"/>
              </a:solidFill>
            </a:rPr>
            <a:t> discount contracts </a:t>
          </a:r>
          <a:r>
            <a:rPr lang="de-DE" sz="1400" b="1" u="sng" baseline="0">
              <a:solidFill>
                <a:schemeClr val="tx1"/>
              </a:solidFill>
            </a:rPr>
            <a:t>TODAY</a:t>
          </a:r>
          <a:endParaRPr lang="de-DE" sz="1400" b="1" u="sng">
            <a:solidFill>
              <a:schemeClr val="tx1"/>
            </a:solidFill>
          </a:endParaRPr>
        </a:p>
      </xdr:txBody>
    </xdr:sp>
    <xdr:clientData/>
  </xdr:twoCellAnchor>
  <xdr:twoCellAnchor>
    <xdr:from>
      <xdr:col>18</xdr:col>
      <xdr:colOff>104776</xdr:colOff>
      <xdr:row>4</xdr:row>
      <xdr:rowOff>28575</xdr:rowOff>
    </xdr:from>
    <xdr:to>
      <xdr:col>21</xdr:col>
      <xdr:colOff>752476</xdr:colOff>
      <xdr:row>24</xdr:row>
      <xdr:rowOff>85725</xdr:rowOff>
    </xdr:to>
    <xdr:sp macro="" textlink="">
      <xdr:nvSpPr>
        <xdr:cNvPr id="24" name="Rechteck 23">
          <a:extLst>
            <a:ext uri="{FF2B5EF4-FFF2-40B4-BE49-F238E27FC236}">
              <a16:creationId xmlns:a16="http://schemas.microsoft.com/office/drawing/2014/main" id="{5DDA8A4A-29ED-4A71-9BC2-85B7F811143F}"/>
            </a:ext>
          </a:extLst>
        </xdr:cNvPr>
        <xdr:cNvSpPr/>
      </xdr:nvSpPr>
      <xdr:spPr>
        <a:xfrm>
          <a:off x="13820776" y="790575"/>
          <a:ext cx="2933700" cy="3867150"/>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endParaRPr lang="de-DE" sz="1400" b="1">
            <a:solidFill>
              <a:schemeClr val="tx1"/>
            </a:solidFill>
          </a:endParaRPr>
        </a:p>
      </xdr:txBody>
    </xdr:sp>
    <xdr:clientData/>
  </xdr:twoCellAnchor>
  <xdr:twoCellAnchor>
    <xdr:from>
      <xdr:col>18</xdr:col>
      <xdr:colOff>238124</xdr:colOff>
      <xdr:row>10</xdr:row>
      <xdr:rowOff>123823</xdr:rowOff>
    </xdr:from>
    <xdr:to>
      <xdr:col>21</xdr:col>
      <xdr:colOff>590549</xdr:colOff>
      <xdr:row>21</xdr:row>
      <xdr:rowOff>188323</xdr:rowOff>
    </xdr:to>
    <xdr:sp macro="" textlink="">
      <xdr:nvSpPr>
        <xdr:cNvPr id="25" name="Rechteck 24">
          <a:extLst>
            <a:ext uri="{FF2B5EF4-FFF2-40B4-BE49-F238E27FC236}">
              <a16:creationId xmlns:a16="http://schemas.microsoft.com/office/drawing/2014/main" id="{42516304-624B-4BC1-9615-7C6388E54768}"/>
            </a:ext>
          </a:extLst>
        </xdr:cNvPr>
        <xdr:cNvSpPr/>
      </xdr:nvSpPr>
      <xdr:spPr>
        <a:xfrm>
          <a:off x="13954124" y="2028823"/>
          <a:ext cx="2638425" cy="2160000"/>
        </a:xfrm>
        <a:prstGeom prst="rect">
          <a:avLst/>
        </a:prstGeom>
        <a:solidFill>
          <a:schemeClr val="accent6">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DATA M2M</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a:t>
          </a:r>
          <a:r>
            <a:rPr lang="de-DE" sz="1000" b="0" baseline="0">
              <a:solidFill>
                <a:schemeClr val="dk1"/>
              </a:solidFill>
              <a:latin typeface="+mn-lt"/>
              <a:ea typeface="+mn-ea"/>
              <a:cs typeface="+mn-cs"/>
            </a:rPr>
            <a:t>revenue Commitment </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IMSI based</a:t>
          </a:r>
        </a:p>
      </xdr:txBody>
    </xdr:sp>
    <xdr:clientData/>
  </xdr:twoCellAnchor>
  <xdr:twoCellAnchor>
    <xdr:from>
      <xdr:col>18</xdr:col>
      <xdr:colOff>238125</xdr:colOff>
      <xdr:row>8</xdr:row>
      <xdr:rowOff>133350</xdr:rowOff>
    </xdr:from>
    <xdr:to>
      <xdr:col>21</xdr:col>
      <xdr:colOff>609600</xdr:colOff>
      <xdr:row>10</xdr:row>
      <xdr:rowOff>47625</xdr:rowOff>
    </xdr:to>
    <xdr:sp macro="" textlink="">
      <xdr:nvSpPr>
        <xdr:cNvPr id="26" name="Rechteck 25">
          <a:extLst>
            <a:ext uri="{FF2B5EF4-FFF2-40B4-BE49-F238E27FC236}">
              <a16:creationId xmlns:a16="http://schemas.microsoft.com/office/drawing/2014/main" id="{B477CB86-3F06-4081-9694-3DA8381F91BE}"/>
            </a:ext>
          </a:extLst>
        </xdr:cNvPr>
        <xdr:cNvSpPr/>
      </xdr:nvSpPr>
      <xdr:spPr>
        <a:xfrm>
          <a:off x="13954125" y="1657350"/>
          <a:ext cx="2657475" cy="295275"/>
        </a:xfrm>
        <a:prstGeom prst="rect">
          <a:avLst/>
        </a:prstGeom>
        <a:solidFill>
          <a:schemeClr val="accent6">
            <a:lumMod val="75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bg1"/>
              </a:solidFill>
            </a:rPr>
            <a:t>DATA M2M</a:t>
          </a:r>
        </a:p>
      </xdr:txBody>
    </xdr:sp>
    <xdr:clientData/>
  </xdr:twoCellAnchor>
  <xdr:twoCellAnchor>
    <xdr:from>
      <xdr:col>18</xdr:col>
      <xdr:colOff>638175</xdr:colOff>
      <xdr:row>14</xdr:row>
      <xdr:rowOff>9525</xdr:rowOff>
    </xdr:from>
    <xdr:to>
      <xdr:col>21</xdr:col>
      <xdr:colOff>276225</xdr:colOff>
      <xdr:row>19</xdr:row>
      <xdr:rowOff>161925</xdr:rowOff>
    </xdr:to>
    <xdr:sp macro="" textlink="">
      <xdr:nvSpPr>
        <xdr:cNvPr id="27" name="Rechteck 26">
          <a:extLst>
            <a:ext uri="{FF2B5EF4-FFF2-40B4-BE49-F238E27FC236}">
              <a16:creationId xmlns:a16="http://schemas.microsoft.com/office/drawing/2014/main" id="{08517485-F1BA-47B0-BF7C-795740D0EAB1}"/>
            </a:ext>
          </a:extLst>
        </xdr:cNvPr>
        <xdr:cNvSpPr/>
      </xdr:nvSpPr>
      <xdr:spPr>
        <a:xfrm>
          <a:off x="14354175" y="2676525"/>
          <a:ext cx="1924050" cy="1104900"/>
        </a:xfrm>
        <a:prstGeom prst="rect">
          <a:avLst/>
        </a:prstGeom>
        <a:solidFill>
          <a:schemeClr val="accent6">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a:t>
          </a:r>
        </a:p>
      </xdr:txBody>
    </xdr:sp>
    <xdr:clientData/>
  </xdr:twoCellAnchor>
  <xdr:twoCellAnchor>
    <xdr:from>
      <xdr:col>13</xdr:col>
      <xdr:colOff>495301</xdr:colOff>
      <xdr:row>5</xdr:row>
      <xdr:rowOff>123825</xdr:rowOff>
    </xdr:from>
    <xdr:to>
      <xdr:col>20</xdr:col>
      <xdr:colOff>42864</xdr:colOff>
      <xdr:row>8</xdr:row>
      <xdr:rowOff>133350</xdr:rowOff>
    </xdr:to>
    <xdr:cxnSp macro="">
      <xdr:nvCxnSpPr>
        <xdr:cNvPr id="31" name="Verbinder: gewinkelt 30">
          <a:extLst>
            <a:ext uri="{FF2B5EF4-FFF2-40B4-BE49-F238E27FC236}">
              <a16:creationId xmlns:a16="http://schemas.microsoft.com/office/drawing/2014/main" id="{0DFC34F3-C58C-4925-A4B9-2DFC1653F2D1}"/>
            </a:ext>
          </a:extLst>
        </xdr:cNvPr>
        <xdr:cNvCxnSpPr>
          <a:stCxn id="26" idx="0"/>
        </xdr:cNvCxnSpPr>
      </xdr:nvCxnSpPr>
      <xdr:spPr>
        <a:xfrm rot="16200000" flipV="1">
          <a:off x="12551570" y="-1073944"/>
          <a:ext cx="581025" cy="4881563"/>
        </a:xfrm>
        <a:prstGeom prst="bentConnector2">
          <a:avLst/>
        </a:prstGeom>
        <a:ln w="28575">
          <a:prstDash val="sysDot"/>
          <a:tailEnd type="triangle"/>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14</xdr:col>
      <xdr:colOff>104775</xdr:colOff>
      <xdr:row>4</xdr:row>
      <xdr:rowOff>85725</xdr:rowOff>
    </xdr:from>
    <xdr:ext cx="2680542" cy="264560"/>
    <xdr:sp macro="" textlink="">
      <xdr:nvSpPr>
        <xdr:cNvPr id="32" name="Textfeld 31">
          <a:extLst>
            <a:ext uri="{FF2B5EF4-FFF2-40B4-BE49-F238E27FC236}">
              <a16:creationId xmlns:a16="http://schemas.microsoft.com/office/drawing/2014/main" id="{AAB6228A-24B1-4986-A50D-FE991DC42455}"/>
            </a:ext>
          </a:extLst>
        </xdr:cNvPr>
        <xdr:cNvSpPr txBox="1"/>
      </xdr:nvSpPr>
      <xdr:spPr>
        <a:xfrm>
          <a:off x="10772775" y="847725"/>
          <a:ext cx="26805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a:t>counts</a:t>
          </a:r>
          <a:r>
            <a:rPr lang="de-DE" sz="1100" baseline="0"/>
            <a:t> into achieving revenue commitment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666750</xdr:colOff>
      <xdr:row>4</xdr:row>
      <xdr:rowOff>28574</xdr:rowOff>
    </xdr:from>
    <xdr:to>
      <xdr:col>17</xdr:col>
      <xdr:colOff>742950</xdr:colOff>
      <xdr:row>33</xdr:row>
      <xdr:rowOff>38099</xdr:rowOff>
    </xdr:to>
    <xdr:sp macro="" textlink="">
      <xdr:nvSpPr>
        <xdr:cNvPr id="2" name="Rechteck 1">
          <a:extLst>
            <a:ext uri="{FF2B5EF4-FFF2-40B4-BE49-F238E27FC236}">
              <a16:creationId xmlns:a16="http://schemas.microsoft.com/office/drawing/2014/main" id="{073E3070-FEC7-433F-B8E6-1362EE45CEFD}"/>
            </a:ext>
          </a:extLst>
        </xdr:cNvPr>
        <xdr:cNvSpPr/>
      </xdr:nvSpPr>
      <xdr:spPr>
        <a:xfrm>
          <a:off x="1428750" y="790574"/>
          <a:ext cx="12268200" cy="5534025"/>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de-DE" sz="1400" b="1">
              <a:solidFill>
                <a:schemeClr val="tx1"/>
              </a:solidFill>
            </a:rPr>
            <a:t>Calculation Prio 3</a:t>
          </a:r>
        </a:p>
        <a:p>
          <a:pPr algn="ctr"/>
          <a:r>
            <a:rPr lang="de-DE" sz="1400" b="1">
              <a:solidFill>
                <a:schemeClr val="tx1"/>
              </a:solidFill>
            </a:rPr>
            <a:t>[revenue/unit</a:t>
          </a:r>
          <a:r>
            <a:rPr lang="de-DE" sz="1400" b="1" baseline="0">
              <a:solidFill>
                <a:schemeClr val="tx1"/>
              </a:solidFill>
            </a:rPr>
            <a:t> commitment over all services or selected services]</a:t>
          </a:r>
          <a:endParaRPr lang="de-DE" sz="1400" b="1">
            <a:solidFill>
              <a:schemeClr val="tx1"/>
            </a:solidFill>
          </a:endParaRPr>
        </a:p>
      </xdr:txBody>
    </xdr:sp>
    <xdr:clientData/>
  </xdr:twoCellAnchor>
  <xdr:twoCellAnchor>
    <xdr:from>
      <xdr:col>2</xdr:col>
      <xdr:colOff>438149</xdr:colOff>
      <xdr:row>10</xdr:row>
      <xdr:rowOff>161924</xdr:rowOff>
    </xdr:from>
    <xdr:to>
      <xdr:col>6</xdr:col>
      <xdr:colOff>28574</xdr:colOff>
      <xdr:row>32</xdr:row>
      <xdr:rowOff>19050</xdr:rowOff>
    </xdr:to>
    <xdr:sp macro="" textlink="">
      <xdr:nvSpPr>
        <xdr:cNvPr id="3" name="Rechteck 2">
          <a:extLst>
            <a:ext uri="{FF2B5EF4-FFF2-40B4-BE49-F238E27FC236}">
              <a16:creationId xmlns:a16="http://schemas.microsoft.com/office/drawing/2014/main" id="{4F6D24CC-B2CA-43C6-AA4B-62B3EE479A6A}"/>
            </a:ext>
          </a:extLst>
        </xdr:cNvPr>
        <xdr:cNvSpPr/>
      </xdr:nvSpPr>
      <xdr:spPr>
        <a:xfrm>
          <a:off x="1962149" y="2066924"/>
          <a:ext cx="2638425" cy="4048126"/>
        </a:xfrm>
        <a:prstGeom prst="rect">
          <a:avLst/>
        </a:prstGeom>
        <a:solidFill>
          <a:schemeClr val="accent1">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MOC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a:t>
          </a:r>
          <a:r>
            <a:rPr lang="de-DE" sz="1000" b="0" baseline="0">
              <a:solidFill>
                <a:schemeClr val="dk1"/>
              </a:solidFill>
              <a:latin typeface="+mn-lt"/>
              <a:ea typeface="+mn-ea"/>
              <a:cs typeface="+mn-cs"/>
            </a:rPr>
            <a:t> volume based</a:t>
          </a:r>
          <a:endParaRPr lang="de-DE" sz="1000" b="0">
            <a:solidFill>
              <a:schemeClr val="dk1"/>
            </a:solidFill>
            <a:latin typeface="+mn-lt"/>
            <a:ea typeface="+mn-ea"/>
            <a:cs typeface="+mn-cs"/>
          </a:endParaRPr>
        </a:p>
      </xdr:txBody>
    </xdr:sp>
    <xdr:clientData/>
  </xdr:twoCellAnchor>
  <xdr:twoCellAnchor>
    <xdr:from>
      <xdr:col>2</xdr:col>
      <xdr:colOff>438150</xdr:colOff>
      <xdr:row>8</xdr:row>
      <xdr:rowOff>171450</xdr:rowOff>
    </xdr:from>
    <xdr:to>
      <xdr:col>6</xdr:col>
      <xdr:colOff>47625</xdr:colOff>
      <xdr:row>10</xdr:row>
      <xdr:rowOff>85725</xdr:rowOff>
    </xdr:to>
    <xdr:sp macro="" textlink="">
      <xdr:nvSpPr>
        <xdr:cNvPr id="4" name="Rechteck 3">
          <a:extLst>
            <a:ext uri="{FF2B5EF4-FFF2-40B4-BE49-F238E27FC236}">
              <a16:creationId xmlns:a16="http://schemas.microsoft.com/office/drawing/2014/main" id="{1439D7DC-3E5E-4176-B19C-925D14FCE727}"/>
            </a:ext>
          </a:extLst>
        </xdr:cNvPr>
        <xdr:cNvSpPr/>
      </xdr:nvSpPr>
      <xdr:spPr>
        <a:xfrm>
          <a:off x="1962150" y="1695450"/>
          <a:ext cx="2657475" cy="295275"/>
        </a:xfrm>
        <a:prstGeom prst="rect">
          <a:avLst/>
        </a:prstGeom>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t>MOC</a:t>
          </a:r>
        </a:p>
      </xdr:txBody>
    </xdr:sp>
    <xdr:clientData/>
  </xdr:twoCellAnchor>
  <xdr:twoCellAnchor>
    <xdr:from>
      <xdr:col>3</xdr:col>
      <xdr:colOff>57150</xdr:colOff>
      <xdr:row>14</xdr:row>
      <xdr:rowOff>38099</xdr:rowOff>
    </xdr:from>
    <xdr:to>
      <xdr:col>5</xdr:col>
      <xdr:colOff>457200</xdr:colOff>
      <xdr:row>30</xdr:row>
      <xdr:rowOff>47624</xdr:rowOff>
    </xdr:to>
    <xdr:sp macro="" textlink="">
      <xdr:nvSpPr>
        <xdr:cNvPr id="5" name="Rechteck 4">
          <a:extLst>
            <a:ext uri="{FF2B5EF4-FFF2-40B4-BE49-F238E27FC236}">
              <a16:creationId xmlns:a16="http://schemas.microsoft.com/office/drawing/2014/main" id="{E73B8309-8CCF-4E96-8F88-D026B0FE76FE}"/>
            </a:ext>
          </a:extLst>
        </xdr:cNvPr>
        <xdr:cNvSpPr/>
      </xdr:nvSpPr>
      <xdr:spPr>
        <a:xfrm>
          <a:off x="2343150" y="2705099"/>
          <a:ext cx="1924050" cy="3057525"/>
        </a:xfrm>
        <a:prstGeom prst="rect">
          <a:avLst/>
        </a:prstGeom>
        <a:solidFill>
          <a:schemeClr val="accent1">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MOC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LBI, Baseline, BackToFirst, BalancedUnbalanced]</a:t>
          </a:r>
        </a:p>
      </xdr:txBody>
    </xdr:sp>
    <xdr:clientData/>
  </xdr:twoCellAnchor>
  <xdr:twoCellAnchor>
    <xdr:from>
      <xdr:col>6</xdr:col>
      <xdr:colOff>380999</xdr:colOff>
      <xdr:row>10</xdr:row>
      <xdr:rowOff>152399</xdr:rowOff>
    </xdr:from>
    <xdr:to>
      <xdr:col>9</xdr:col>
      <xdr:colOff>733424</xdr:colOff>
      <xdr:row>32</xdr:row>
      <xdr:rowOff>9525</xdr:rowOff>
    </xdr:to>
    <xdr:sp macro="" textlink="">
      <xdr:nvSpPr>
        <xdr:cNvPr id="6" name="Rechteck 5">
          <a:extLst>
            <a:ext uri="{FF2B5EF4-FFF2-40B4-BE49-F238E27FC236}">
              <a16:creationId xmlns:a16="http://schemas.microsoft.com/office/drawing/2014/main" id="{242F38D5-8B97-4E27-A2F9-0D44295E7782}"/>
            </a:ext>
          </a:extLst>
        </xdr:cNvPr>
        <xdr:cNvSpPr/>
      </xdr:nvSpPr>
      <xdr:spPr>
        <a:xfrm>
          <a:off x="4952999" y="2057399"/>
          <a:ext cx="2638425" cy="4048126"/>
        </a:xfrm>
        <a:prstGeom prst="rect">
          <a:avLst/>
        </a:prstGeom>
        <a:solidFill>
          <a:schemeClr val="bg1">
            <a:lumMod val="75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MTC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a:t>
          </a:r>
          <a:r>
            <a:rPr lang="de-DE" sz="1000" b="0" baseline="0">
              <a:solidFill>
                <a:schemeClr val="dk1"/>
              </a:solidFill>
              <a:latin typeface="+mn-lt"/>
              <a:ea typeface="+mn-ea"/>
              <a:cs typeface="+mn-cs"/>
            </a:rPr>
            <a:t> based</a:t>
          </a:r>
          <a:endParaRPr lang="de-DE" sz="1000" b="0">
            <a:solidFill>
              <a:schemeClr val="dk1"/>
            </a:solidFill>
            <a:latin typeface="+mn-lt"/>
            <a:ea typeface="+mn-ea"/>
            <a:cs typeface="+mn-cs"/>
          </a:endParaRPr>
        </a:p>
      </xdr:txBody>
    </xdr:sp>
    <xdr:clientData/>
  </xdr:twoCellAnchor>
  <xdr:twoCellAnchor>
    <xdr:from>
      <xdr:col>6</xdr:col>
      <xdr:colOff>381000</xdr:colOff>
      <xdr:row>8</xdr:row>
      <xdr:rowOff>161925</xdr:rowOff>
    </xdr:from>
    <xdr:to>
      <xdr:col>9</xdr:col>
      <xdr:colOff>752475</xdr:colOff>
      <xdr:row>10</xdr:row>
      <xdr:rowOff>76200</xdr:rowOff>
    </xdr:to>
    <xdr:sp macro="" textlink="">
      <xdr:nvSpPr>
        <xdr:cNvPr id="7" name="Rechteck 6">
          <a:extLst>
            <a:ext uri="{FF2B5EF4-FFF2-40B4-BE49-F238E27FC236}">
              <a16:creationId xmlns:a16="http://schemas.microsoft.com/office/drawing/2014/main" id="{2A49A7A8-8317-4BF8-9D03-68BBB0B4F48F}"/>
            </a:ext>
          </a:extLst>
        </xdr:cNvPr>
        <xdr:cNvSpPr/>
      </xdr:nvSpPr>
      <xdr:spPr>
        <a:xfrm>
          <a:off x="4953000" y="1685925"/>
          <a:ext cx="2657475" cy="295275"/>
        </a:xfrm>
        <a:prstGeom prst="rect">
          <a:avLst/>
        </a:prstGeom>
        <a:solidFill>
          <a:schemeClr val="tx1">
            <a:lumMod val="50000"/>
            <a:lumOff val="50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t>MTC</a:t>
          </a:r>
        </a:p>
      </xdr:txBody>
    </xdr:sp>
    <xdr:clientData/>
  </xdr:twoCellAnchor>
  <xdr:twoCellAnchor>
    <xdr:from>
      <xdr:col>7</xdr:col>
      <xdr:colOff>0</xdr:colOff>
      <xdr:row>14</xdr:row>
      <xdr:rowOff>28574</xdr:rowOff>
    </xdr:from>
    <xdr:to>
      <xdr:col>9</xdr:col>
      <xdr:colOff>400050</xdr:colOff>
      <xdr:row>30</xdr:row>
      <xdr:rowOff>38099</xdr:rowOff>
    </xdr:to>
    <xdr:sp macro="" textlink="">
      <xdr:nvSpPr>
        <xdr:cNvPr id="8" name="Rechteck 7">
          <a:extLst>
            <a:ext uri="{FF2B5EF4-FFF2-40B4-BE49-F238E27FC236}">
              <a16:creationId xmlns:a16="http://schemas.microsoft.com/office/drawing/2014/main" id="{F51FC011-3B83-4982-AA08-AED8783E679A}"/>
            </a:ext>
          </a:extLst>
        </xdr:cNvPr>
        <xdr:cNvSpPr/>
      </xdr:nvSpPr>
      <xdr:spPr>
        <a:xfrm>
          <a:off x="5334000" y="2695574"/>
          <a:ext cx="1924050" cy="3057525"/>
        </a:xfrm>
        <a:prstGeom prst="rect">
          <a:avLst/>
        </a:prstGeom>
        <a:solidFill>
          <a:schemeClr val="bg1">
            <a:lumMod val="95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MTC</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10</xdr:col>
      <xdr:colOff>238124</xdr:colOff>
      <xdr:row>10</xdr:row>
      <xdr:rowOff>142874</xdr:rowOff>
    </xdr:from>
    <xdr:to>
      <xdr:col>13</xdr:col>
      <xdr:colOff>590549</xdr:colOff>
      <xdr:row>32</xdr:row>
      <xdr:rowOff>0</xdr:rowOff>
    </xdr:to>
    <xdr:sp macro="" textlink="">
      <xdr:nvSpPr>
        <xdr:cNvPr id="9" name="Rechteck 8">
          <a:extLst>
            <a:ext uri="{FF2B5EF4-FFF2-40B4-BE49-F238E27FC236}">
              <a16:creationId xmlns:a16="http://schemas.microsoft.com/office/drawing/2014/main" id="{12F18B6A-119B-4681-B2C4-CC985BADA0E0}"/>
            </a:ext>
          </a:extLst>
        </xdr:cNvPr>
        <xdr:cNvSpPr/>
      </xdr:nvSpPr>
      <xdr:spPr>
        <a:xfrm>
          <a:off x="7858124" y="2047874"/>
          <a:ext cx="2638425" cy="4048126"/>
        </a:xfrm>
        <a:prstGeom prst="rect">
          <a:avLst/>
        </a:prstGeom>
        <a:solidFill>
          <a:schemeClr val="accent4">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SMS</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 based</a:t>
          </a:r>
        </a:p>
      </xdr:txBody>
    </xdr:sp>
    <xdr:clientData/>
  </xdr:twoCellAnchor>
  <xdr:twoCellAnchor>
    <xdr:from>
      <xdr:col>10</xdr:col>
      <xdr:colOff>238125</xdr:colOff>
      <xdr:row>8</xdr:row>
      <xdr:rowOff>152400</xdr:rowOff>
    </xdr:from>
    <xdr:to>
      <xdr:col>13</xdr:col>
      <xdr:colOff>609600</xdr:colOff>
      <xdr:row>10</xdr:row>
      <xdr:rowOff>66675</xdr:rowOff>
    </xdr:to>
    <xdr:sp macro="" textlink="">
      <xdr:nvSpPr>
        <xdr:cNvPr id="10" name="Rechteck 9">
          <a:extLst>
            <a:ext uri="{FF2B5EF4-FFF2-40B4-BE49-F238E27FC236}">
              <a16:creationId xmlns:a16="http://schemas.microsoft.com/office/drawing/2014/main" id="{86A2F5DE-7CBA-4DE8-A4FF-3BED1C86701D}"/>
            </a:ext>
          </a:extLst>
        </xdr:cNvPr>
        <xdr:cNvSpPr/>
      </xdr:nvSpPr>
      <xdr:spPr>
        <a:xfrm>
          <a:off x="7858125" y="1676400"/>
          <a:ext cx="2657475" cy="295275"/>
        </a:xfrm>
        <a:prstGeom prst="rect">
          <a:avLst/>
        </a:prstGeom>
        <a:solidFill>
          <a:schemeClr val="accent4">
            <a:lumMod val="60000"/>
            <a:lumOff val="40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tx1">
                  <a:lumMod val="50000"/>
                  <a:lumOff val="50000"/>
                </a:schemeClr>
              </a:solidFill>
            </a:rPr>
            <a:t>SMS</a:t>
          </a:r>
        </a:p>
      </xdr:txBody>
    </xdr:sp>
    <xdr:clientData/>
  </xdr:twoCellAnchor>
  <xdr:twoCellAnchor>
    <xdr:from>
      <xdr:col>10</xdr:col>
      <xdr:colOff>619125</xdr:colOff>
      <xdr:row>14</xdr:row>
      <xdr:rowOff>19049</xdr:rowOff>
    </xdr:from>
    <xdr:to>
      <xdr:col>13</xdr:col>
      <xdr:colOff>257175</xdr:colOff>
      <xdr:row>30</xdr:row>
      <xdr:rowOff>28574</xdr:rowOff>
    </xdr:to>
    <xdr:sp macro="" textlink="">
      <xdr:nvSpPr>
        <xdr:cNvPr id="11" name="Rechteck 10">
          <a:extLst>
            <a:ext uri="{FF2B5EF4-FFF2-40B4-BE49-F238E27FC236}">
              <a16:creationId xmlns:a16="http://schemas.microsoft.com/office/drawing/2014/main" id="{D052162D-22E9-4DC8-86DD-67234EA77235}"/>
            </a:ext>
          </a:extLst>
        </xdr:cNvPr>
        <xdr:cNvSpPr/>
      </xdr:nvSpPr>
      <xdr:spPr>
        <a:xfrm>
          <a:off x="8239125" y="2686049"/>
          <a:ext cx="1924050" cy="3057525"/>
        </a:xfrm>
        <a:prstGeom prst="rect">
          <a:avLst/>
        </a:prstGeom>
        <a:solidFill>
          <a:schemeClr val="accent4">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SMS</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14</xdr:col>
      <xdr:colOff>85724</xdr:colOff>
      <xdr:row>10</xdr:row>
      <xdr:rowOff>123824</xdr:rowOff>
    </xdr:from>
    <xdr:to>
      <xdr:col>17</xdr:col>
      <xdr:colOff>438149</xdr:colOff>
      <xdr:row>31</xdr:row>
      <xdr:rowOff>171450</xdr:rowOff>
    </xdr:to>
    <xdr:sp macro="" textlink="">
      <xdr:nvSpPr>
        <xdr:cNvPr id="12" name="Rechteck 11">
          <a:extLst>
            <a:ext uri="{FF2B5EF4-FFF2-40B4-BE49-F238E27FC236}">
              <a16:creationId xmlns:a16="http://schemas.microsoft.com/office/drawing/2014/main" id="{66E59FA2-B583-4F99-BB26-A078730DE61E}"/>
            </a:ext>
          </a:extLst>
        </xdr:cNvPr>
        <xdr:cNvSpPr/>
      </xdr:nvSpPr>
      <xdr:spPr>
        <a:xfrm>
          <a:off x="10753724" y="2028824"/>
          <a:ext cx="2638425" cy="4048126"/>
        </a:xfrm>
        <a:prstGeom prst="rect">
          <a:avLst/>
        </a:prstGeom>
        <a:solidFill>
          <a:schemeClr val="accent6">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Volume or</a:t>
          </a:r>
          <a:r>
            <a:rPr lang="de-DE" sz="1000" b="0" baseline="0">
              <a:solidFill>
                <a:schemeClr val="dk1"/>
              </a:solidFill>
              <a:latin typeface="+mn-lt"/>
              <a:ea typeface="+mn-ea"/>
              <a:cs typeface="+mn-cs"/>
            </a:rPr>
            <a:t> Revenue Commitment for this service only</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volume based</a:t>
          </a:r>
        </a:p>
      </xdr:txBody>
    </xdr:sp>
    <xdr:clientData/>
  </xdr:twoCellAnchor>
  <xdr:twoCellAnchor>
    <xdr:from>
      <xdr:col>14</xdr:col>
      <xdr:colOff>85725</xdr:colOff>
      <xdr:row>8</xdr:row>
      <xdr:rowOff>133350</xdr:rowOff>
    </xdr:from>
    <xdr:to>
      <xdr:col>17</xdr:col>
      <xdr:colOff>457200</xdr:colOff>
      <xdr:row>10</xdr:row>
      <xdr:rowOff>47625</xdr:rowOff>
    </xdr:to>
    <xdr:sp macro="" textlink="">
      <xdr:nvSpPr>
        <xdr:cNvPr id="13" name="Rechteck 12">
          <a:extLst>
            <a:ext uri="{FF2B5EF4-FFF2-40B4-BE49-F238E27FC236}">
              <a16:creationId xmlns:a16="http://schemas.microsoft.com/office/drawing/2014/main" id="{560D70E2-843A-49A1-8720-C535D26D57AB}"/>
            </a:ext>
          </a:extLst>
        </xdr:cNvPr>
        <xdr:cNvSpPr/>
      </xdr:nvSpPr>
      <xdr:spPr>
        <a:xfrm>
          <a:off x="10753725" y="1657350"/>
          <a:ext cx="2657475" cy="295275"/>
        </a:xfrm>
        <a:prstGeom prst="rect">
          <a:avLst/>
        </a:prstGeom>
        <a:solidFill>
          <a:schemeClr val="accent6">
            <a:lumMod val="75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bg1"/>
              </a:solidFill>
            </a:rPr>
            <a:t>DATA</a:t>
          </a:r>
        </a:p>
      </xdr:txBody>
    </xdr:sp>
    <xdr:clientData/>
  </xdr:twoCellAnchor>
  <xdr:twoCellAnchor>
    <xdr:from>
      <xdr:col>14</xdr:col>
      <xdr:colOff>466725</xdr:colOff>
      <xdr:row>13</xdr:row>
      <xdr:rowOff>190499</xdr:rowOff>
    </xdr:from>
    <xdr:to>
      <xdr:col>17</xdr:col>
      <xdr:colOff>104775</xdr:colOff>
      <xdr:row>30</xdr:row>
      <xdr:rowOff>9524</xdr:rowOff>
    </xdr:to>
    <xdr:sp macro="" textlink="">
      <xdr:nvSpPr>
        <xdr:cNvPr id="14" name="Rechteck 13">
          <a:extLst>
            <a:ext uri="{FF2B5EF4-FFF2-40B4-BE49-F238E27FC236}">
              <a16:creationId xmlns:a16="http://schemas.microsoft.com/office/drawing/2014/main" id="{F5B49F34-3A49-4F75-A796-C24382B525DF}"/>
            </a:ext>
          </a:extLst>
        </xdr:cNvPr>
        <xdr:cNvSpPr/>
      </xdr:nvSpPr>
      <xdr:spPr>
        <a:xfrm>
          <a:off x="11134725" y="2666999"/>
          <a:ext cx="1924050" cy="3057525"/>
        </a:xfrm>
        <a:prstGeom prst="rect">
          <a:avLst/>
        </a:prstGeom>
        <a:solidFill>
          <a:schemeClr val="accent6">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 BackToFirst, BalancedUnbalanced]</a:t>
          </a:r>
        </a:p>
      </xdr:txBody>
    </xdr:sp>
    <xdr:clientData/>
  </xdr:twoCellAnchor>
  <xdr:twoCellAnchor>
    <xdr:from>
      <xdr:col>0</xdr:col>
      <xdr:colOff>714376</xdr:colOff>
      <xdr:row>4</xdr:row>
      <xdr:rowOff>19050</xdr:rowOff>
    </xdr:from>
    <xdr:to>
      <xdr:col>1</xdr:col>
      <xdr:colOff>514351</xdr:colOff>
      <xdr:row>33</xdr:row>
      <xdr:rowOff>83099</xdr:rowOff>
    </xdr:to>
    <xdr:sp macro="" textlink="">
      <xdr:nvSpPr>
        <xdr:cNvPr id="15" name="Rechteck 14">
          <a:extLst>
            <a:ext uri="{FF2B5EF4-FFF2-40B4-BE49-F238E27FC236}">
              <a16:creationId xmlns:a16="http://schemas.microsoft.com/office/drawing/2014/main" id="{79DD055F-46ED-4218-9FA4-95B19FD241EB}"/>
            </a:ext>
          </a:extLst>
        </xdr:cNvPr>
        <xdr:cNvSpPr/>
      </xdr:nvSpPr>
      <xdr:spPr>
        <a:xfrm rot="16200000">
          <a:off x="-1798911" y="3294337"/>
          <a:ext cx="5588549" cy="561975"/>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de-DE" sz="1400" b="1">
              <a:solidFill>
                <a:schemeClr val="tx1"/>
              </a:solidFill>
            </a:rPr>
            <a:t>Classical</a:t>
          </a:r>
          <a:r>
            <a:rPr lang="de-DE" sz="1400" b="1" baseline="0">
              <a:solidFill>
                <a:schemeClr val="tx1"/>
              </a:solidFill>
            </a:rPr>
            <a:t> discount contracts </a:t>
          </a:r>
          <a:r>
            <a:rPr lang="de-DE" sz="1400" b="1" u="sng" baseline="0">
              <a:solidFill>
                <a:schemeClr val="tx1"/>
              </a:solidFill>
            </a:rPr>
            <a:t>TODAY</a:t>
          </a:r>
          <a:endParaRPr lang="de-DE" sz="1400" b="1" u="sng">
            <a:solidFill>
              <a:schemeClr val="tx1"/>
            </a:solidFill>
          </a:endParaRPr>
        </a:p>
      </xdr:txBody>
    </xdr:sp>
    <xdr:clientData/>
  </xdr:twoCellAnchor>
  <xdr:twoCellAnchor>
    <xdr:from>
      <xdr:col>3</xdr:col>
      <xdr:colOff>256443</xdr:colOff>
      <xdr:row>21</xdr:row>
      <xdr:rowOff>58616</xdr:rowOff>
    </xdr:from>
    <xdr:to>
      <xdr:col>5</xdr:col>
      <xdr:colOff>262443</xdr:colOff>
      <xdr:row>29</xdr:row>
      <xdr:rowOff>58616</xdr:rowOff>
    </xdr:to>
    <xdr:sp macro="" textlink="">
      <xdr:nvSpPr>
        <xdr:cNvPr id="24" name="Rechteck 23">
          <a:extLst>
            <a:ext uri="{FF2B5EF4-FFF2-40B4-BE49-F238E27FC236}">
              <a16:creationId xmlns:a16="http://schemas.microsoft.com/office/drawing/2014/main" id="{C7BD9E4D-CB81-4058-83B4-E20F7B3C14F1}"/>
            </a:ext>
          </a:extLst>
        </xdr:cNvPr>
        <xdr:cNvSpPr/>
      </xdr:nvSpPr>
      <xdr:spPr>
        <a:xfrm>
          <a:off x="2542443" y="4059116"/>
          <a:ext cx="1530000" cy="1524000"/>
        </a:xfrm>
        <a:prstGeom prst="rect">
          <a:avLst/>
        </a:prstGeom>
        <a:solidFill>
          <a:srgbClr val="EBF0F9"/>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t>
          </a:r>
          <a:r>
            <a:rPr lang="de-DE" sz="900" b="0" baseline="0">
              <a:solidFill>
                <a:schemeClr val="dk1"/>
              </a:solidFill>
              <a:latin typeface="+mn-lt"/>
              <a:ea typeface="+mn-ea"/>
              <a:cs typeface="+mn-cs"/>
            </a:rPr>
            <a:t> </a:t>
          </a:r>
          <a:r>
            <a:rPr lang="de-DE" sz="900" b="0">
              <a:solidFill>
                <a:schemeClr val="dk1"/>
              </a:solidFill>
              <a:latin typeface="+mn-lt"/>
              <a:ea typeface="+mn-ea"/>
              <a:cs typeface="+mn-cs"/>
            </a:rPr>
            <a:t>Price Caps</a:t>
          </a:r>
        </a:p>
      </xdr:txBody>
    </xdr:sp>
    <xdr:clientData/>
  </xdr:twoCellAnchor>
  <xdr:twoCellAnchor>
    <xdr:from>
      <xdr:col>3</xdr:col>
      <xdr:colOff>335206</xdr:colOff>
      <xdr:row>25</xdr:row>
      <xdr:rowOff>87373</xdr:rowOff>
    </xdr:from>
    <xdr:to>
      <xdr:col>5</xdr:col>
      <xdr:colOff>179206</xdr:colOff>
      <xdr:row>29</xdr:row>
      <xdr:rowOff>9373</xdr:rowOff>
    </xdr:to>
    <xdr:sp macro="" textlink="">
      <xdr:nvSpPr>
        <xdr:cNvPr id="16" name="Rechteck 15">
          <a:extLst>
            <a:ext uri="{FF2B5EF4-FFF2-40B4-BE49-F238E27FC236}">
              <a16:creationId xmlns:a16="http://schemas.microsoft.com/office/drawing/2014/main" id="{A23AF408-905F-41DD-8EA6-39585568B797}"/>
            </a:ext>
          </a:extLst>
        </xdr:cNvPr>
        <xdr:cNvSpPr/>
      </xdr:nvSpPr>
      <xdr:spPr>
        <a:xfrm>
          <a:off x="2621206" y="4849873"/>
          <a:ext cx="1368000" cy="684000"/>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cc)</a:t>
          </a:r>
          <a:r>
            <a:rPr lang="de-DE" sz="900" b="0" baseline="0">
              <a:solidFill>
                <a:schemeClr val="dk1"/>
              </a:solidFill>
              <a:latin typeface="+mn-lt"/>
              <a:ea typeface="+mn-ea"/>
              <a:cs typeface="+mn-cs"/>
            </a:rPr>
            <a:t> LBI</a:t>
          </a:r>
        </a:p>
        <a:p>
          <a:pPr marL="0" indent="0" algn="l"/>
          <a:r>
            <a:rPr lang="de-DE" sz="900" b="0" baseline="0">
              <a:solidFill>
                <a:schemeClr val="dk1"/>
              </a:solidFill>
              <a:latin typeface="+mn-lt"/>
              <a:ea typeface="+mn-ea"/>
              <a:cs typeface="+mn-cs"/>
            </a:rPr>
            <a:t> i. Baseline</a:t>
          </a:r>
        </a:p>
        <a:p>
          <a:pPr marL="0" indent="0" algn="l"/>
          <a:r>
            <a:rPr lang="de-DE" sz="900" b="0" baseline="0">
              <a:solidFill>
                <a:schemeClr val="dk1"/>
              </a:solidFill>
              <a:latin typeface="+mn-lt"/>
              <a:ea typeface="+mn-ea"/>
              <a:cs typeface="+mn-cs"/>
            </a:rPr>
            <a:t> ii. BackToFirst</a:t>
          </a:r>
        </a:p>
        <a:p>
          <a:pPr marL="0" indent="0" algn="l"/>
          <a:r>
            <a:rPr lang="de-DE" sz="900" b="0" baseline="0">
              <a:solidFill>
                <a:schemeClr val="dk1"/>
              </a:solidFill>
              <a:latin typeface="+mn-lt"/>
              <a:ea typeface="+mn-ea"/>
              <a:cs typeface="+mn-cs"/>
            </a:rPr>
            <a:t> iiii. BalancedUnbalanced</a:t>
          </a:r>
        </a:p>
        <a:p>
          <a:pPr marL="0" indent="0" algn="l"/>
          <a:endParaRPr lang="de-DE" sz="900" b="0">
            <a:solidFill>
              <a:schemeClr val="dk1"/>
            </a:solidFill>
            <a:latin typeface="+mn-lt"/>
            <a:ea typeface="+mn-ea"/>
            <a:cs typeface="+mn-cs"/>
          </a:endParaRPr>
        </a:p>
      </xdr:txBody>
    </xdr:sp>
    <xdr:clientData/>
  </xdr:twoCellAnchor>
  <xdr:twoCellAnchor>
    <xdr:from>
      <xdr:col>3</xdr:col>
      <xdr:colOff>267524</xdr:colOff>
      <xdr:row>18</xdr:row>
      <xdr:rowOff>82429</xdr:rowOff>
    </xdr:from>
    <xdr:to>
      <xdr:col>5</xdr:col>
      <xdr:colOff>273524</xdr:colOff>
      <xdr:row>19</xdr:row>
      <xdr:rowOff>130055</xdr:rowOff>
    </xdr:to>
    <xdr:sp macro="" textlink="">
      <xdr:nvSpPr>
        <xdr:cNvPr id="20" name="Rechteck 19">
          <a:extLst>
            <a:ext uri="{FF2B5EF4-FFF2-40B4-BE49-F238E27FC236}">
              <a16:creationId xmlns:a16="http://schemas.microsoft.com/office/drawing/2014/main" id="{04B57BC3-C64A-4609-880B-C539A1B0A7DB}"/>
            </a:ext>
          </a:extLst>
        </xdr:cNvPr>
        <xdr:cNvSpPr/>
      </xdr:nvSpPr>
      <xdr:spPr>
        <a:xfrm>
          <a:off x="2553524" y="3511429"/>
          <a:ext cx="1530000" cy="238126"/>
        </a:xfrm>
        <a:prstGeom prst="rect">
          <a:avLst/>
        </a:prstGeom>
        <a:solidFill>
          <a:srgbClr val="EBF0F9"/>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1000" b="0">
              <a:solidFill>
                <a:schemeClr val="dk1"/>
              </a:solidFill>
              <a:latin typeface="+mn-lt"/>
              <a:ea typeface="+mn-ea"/>
              <a:cs typeface="+mn-cs"/>
            </a:rPr>
            <a:t>a)</a:t>
          </a:r>
          <a:r>
            <a:rPr lang="de-DE" sz="1000" b="0" baseline="0">
              <a:solidFill>
                <a:schemeClr val="dk1"/>
              </a:solidFill>
              <a:latin typeface="+mn-lt"/>
              <a:ea typeface="+mn-ea"/>
              <a:cs typeface="+mn-cs"/>
            </a:rPr>
            <a:t> </a:t>
          </a:r>
          <a:r>
            <a:rPr lang="de-DE" sz="1000" b="0">
              <a:solidFill>
                <a:schemeClr val="dk1"/>
              </a:solidFill>
              <a:latin typeface="+mn-lt"/>
              <a:ea typeface="+mn-ea"/>
              <a:cs typeface="+mn-cs"/>
            </a:rPr>
            <a:t>Flat</a:t>
          </a:r>
        </a:p>
      </xdr:txBody>
    </xdr:sp>
    <xdr:clientData/>
  </xdr:twoCellAnchor>
  <xdr:twoCellAnchor>
    <xdr:from>
      <xdr:col>3</xdr:col>
      <xdr:colOff>339970</xdr:colOff>
      <xdr:row>23</xdr:row>
      <xdr:rowOff>188668</xdr:rowOff>
    </xdr:from>
    <xdr:to>
      <xdr:col>5</xdr:col>
      <xdr:colOff>183970</xdr:colOff>
      <xdr:row>25</xdr:row>
      <xdr:rowOff>45794</xdr:rowOff>
    </xdr:to>
    <xdr:sp macro="" textlink="">
      <xdr:nvSpPr>
        <xdr:cNvPr id="21" name="Rechteck 20">
          <a:extLst>
            <a:ext uri="{FF2B5EF4-FFF2-40B4-BE49-F238E27FC236}">
              <a16:creationId xmlns:a16="http://schemas.microsoft.com/office/drawing/2014/main" id="{A21FA44E-BAFA-45F3-B951-843F59349D7A}"/>
            </a:ext>
          </a:extLst>
        </xdr:cNvPr>
        <xdr:cNvSpPr/>
      </xdr:nvSpPr>
      <xdr:spPr>
        <a:xfrm>
          <a:off x="2625970" y="4570168"/>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BalancedUnbalanced</a:t>
          </a:r>
        </a:p>
      </xdr:txBody>
    </xdr:sp>
    <xdr:clientData/>
  </xdr:twoCellAnchor>
  <xdr:twoCellAnchor>
    <xdr:from>
      <xdr:col>3</xdr:col>
      <xdr:colOff>338778</xdr:colOff>
      <xdr:row>22</xdr:row>
      <xdr:rowOff>92685</xdr:rowOff>
    </xdr:from>
    <xdr:to>
      <xdr:col>5</xdr:col>
      <xdr:colOff>182778</xdr:colOff>
      <xdr:row>23</xdr:row>
      <xdr:rowOff>140311</xdr:rowOff>
    </xdr:to>
    <xdr:sp macro="" textlink="">
      <xdr:nvSpPr>
        <xdr:cNvPr id="22" name="Rechteck 21">
          <a:extLst>
            <a:ext uri="{FF2B5EF4-FFF2-40B4-BE49-F238E27FC236}">
              <a16:creationId xmlns:a16="http://schemas.microsoft.com/office/drawing/2014/main" id="{B99CBA13-6A89-4CC4-B7C9-B4885BB2990E}"/>
            </a:ext>
          </a:extLst>
        </xdr:cNvPr>
        <xdr:cNvSpPr/>
      </xdr:nvSpPr>
      <xdr:spPr>
        <a:xfrm>
          <a:off x="2624778" y="4283685"/>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a:t>
          </a:r>
          <a:r>
            <a:rPr lang="de-DE" sz="900" b="0" baseline="0">
              <a:solidFill>
                <a:schemeClr val="dk1"/>
              </a:solidFill>
              <a:latin typeface="+mn-lt"/>
              <a:ea typeface="+mn-ea"/>
              <a:cs typeface="+mn-cs"/>
            </a:rPr>
            <a:t> </a:t>
          </a:r>
          <a:r>
            <a:rPr lang="de-DE" sz="900" b="0">
              <a:solidFill>
                <a:schemeClr val="dk1"/>
              </a:solidFill>
              <a:latin typeface="+mn-lt"/>
              <a:ea typeface="+mn-ea"/>
              <a:cs typeface="+mn-cs"/>
            </a:rPr>
            <a:t>Baseline</a:t>
          </a:r>
        </a:p>
      </xdr:txBody>
    </xdr:sp>
    <xdr:clientData/>
  </xdr:twoCellAnchor>
  <xdr:twoCellAnchor>
    <xdr:from>
      <xdr:col>3</xdr:col>
      <xdr:colOff>259191</xdr:colOff>
      <xdr:row>19</xdr:row>
      <xdr:rowOff>167694</xdr:rowOff>
    </xdr:from>
    <xdr:to>
      <xdr:col>5</xdr:col>
      <xdr:colOff>265191</xdr:colOff>
      <xdr:row>21</xdr:row>
      <xdr:rowOff>24820</xdr:rowOff>
    </xdr:to>
    <xdr:sp macro="" textlink="">
      <xdr:nvSpPr>
        <xdr:cNvPr id="23" name="Rechteck 22">
          <a:extLst>
            <a:ext uri="{FF2B5EF4-FFF2-40B4-BE49-F238E27FC236}">
              <a16:creationId xmlns:a16="http://schemas.microsoft.com/office/drawing/2014/main" id="{EBF56173-F270-40E6-BB66-6754AA620447}"/>
            </a:ext>
          </a:extLst>
        </xdr:cNvPr>
        <xdr:cNvSpPr/>
      </xdr:nvSpPr>
      <xdr:spPr>
        <a:xfrm>
          <a:off x="2545191" y="3787194"/>
          <a:ext cx="1530000" cy="238126"/>
        </a:xfrm>
        <a:prstGeom prst="rect">
          <a:avLst/>
        </a:prstGeom>
        <a:solidFill>
          <a:srgbClr val="EBF0F9"/>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BackToFirst</a:t>
          </a:r>
        </a:p>
      </xdr:txBody>
    </xdr:sp>
    <xdr:clientData/>
  </xdr:twoCellAnchor>
  <xdr:twoCellAnchor>
    <xdr:from>
      <xdr:col>11</xdr:col>
      <xdr:colOff>36635</xdr:colOff>
      <xdr:row>21</xdr:row>
      <xdr:rowOff>43963</xdr:rowOff>
    </xdr:from>
    <xdr:to>
      <xdr:col>13</xdr:col>
      <xdr:colOff>42635</xdr:colOff>
      <xdr:row>25</xdr:row>
      <xdr:rowOff>131885</xdr:rowOff>
    </xdr:to>
    <xdr:sp macro="" textlink="">
      <xdr:nvSpPr>
        <xdr:cNvPr id="26" name="Rechteck 25">
          <a:extLst>
            <a:ext uri="{FF2B5EF4-FFF2-40B4-BE49-F238E27FC236}">
              <a16:creationId xmlns:a16="http://schemas.microsoft.com/office/drawing/2014/main" id="{FC36F76A-FAB6-4BB5-9262-C208EB2D1345}"/>
            </a:ext>
          </a:extLst>
        </xdr:cNvPr>
        <xdr:cNvSpPr/>
      </xdr:nvSpPr>
      <xdr:spPr>
        <a:xfrm>
          <a:off x="8418635" y="4044463"/>
          <a:ext cx="1530000" cy="849922"/>
        </a:xfrm>
        <a:prstGeom prst="rect">
          <a:avLst/>
        </a:prstGeom>
        <a:solidFill>
          <a:srgbClr val="FFF6DD"/>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t>
          </a:r>
          <a:r>
            <a:rPr lang="de-DE" sz="900" b="0" baseline="0">
              <a:solidFill>
                <a:schemeClr val="dk1"/>
              </a:solidFill>
              <a:latin typeface="+mn-lt"/>
              <a:ea typeface="+mn-ea"/>
              <a:cs typeface="+mn-cs"/>
            </a:rPr>
            <a:t> </a:t>
          </a:r>
          <a:r>
            <a:rPr lang="de-DE" sz="900" b="0">
              <a:solidFill>
                <a:schemeClr val="dk1"/>
              </a:solidFill>
              <a:latin typeface="+mn-lt"/>
              <a:ea typeface="+mn-ea"/>
              <a:cs typeface="+mn-cs"/>
            </a:rPr>
            <a:t>Price Caps</a:t>
          </a:r>
        </a:p>
      </xdr:txBody>
    </xdr:sp>
    <xdr:clientData/>
  </xdr:twoCellAnchor>
  <xdr:twoCellAnchor>
    <xdr:from>
      <xdr:col>11</xdr:col>
      <xdr:colOff>47716</xdr:colOff>
      <xdr:row>18</xdr:row>
      <xdr:rowOff>67776</xdr:rowOff>
    </xdr:from>
    <xdr:to>
      <xdr:col>13</xdr:col>
      <xdr:colOff>53716</xdr:colOff>
      <xdr:row>19</xdr:row>
      <xdr:rowOff>115402</xdr:rowOff>
    </xdr:to>
    <xdr:sp macro="" textlink="">
      <xdr:nvSpPr>
        <xdr:cNvPr id="28" name="Rechteck 27">
          <a:extLst>
            <a:ext uri="{FF2B5EF4-FFF2-40B4-BE49-F238E27FC236}">
              <a16:creationId xmlns:a16="http://schemas.microsoft.com/office/drawing/2014/main" id="{CB8D8D2B-61BC-4A81-B9DB-B8B87D966996}"/>
            </a:ext>
          </a:extLst>
        </xdr:cNvPr>
        <xdr:cNvSpPr/>
      </xdr:nvSpPr>
      <xdr:spPr>
        <a:xfrm>
          <a:off x="8429716" y="3496776"/>
          <a:ext cx="1530000" cy="238126"/>
        </a:xfrm>
        <a:prstGeom prst="rect">
          <a:avLst/>
        </a:prstGeom>
        <a:solidFill>
          <a:srgbClr val="FFF6DD"/>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1000" b="0">
              <a:solidFill>
                <a:schemeClr val="dk1"/>
              </a:solidFill>
              <a:latin typeface="+mn-lt"/>
              <a:ea typeface="+mn-ea"/>
              <a:cs typeface="+mn-cs"/>
            </a:rPr>
            <a:t>a)</a:t>
          </a:r>
          <a:r>
            <a:rPr lang="de-DE" sz="1000" b="0" baseline="0">
              <a:solidFill>
                <a:schemeClr val="dk1"/>
              </a:solidFill>
              <a:latin typeface="+mn-lt"/>
              <a:ea typeface="+mn-ea"/>
              <a:cs typeface="+mn-cs"/>
            </a:rPr>
            <a:t> </a:t>
          </a:r>
          <a:r>
            <a:rPr lang="de-DE" sz="1000" b="0">
              <a:solidFill>
                <a:schemeClr val="dk1"/>
              </a:solidFill>
              <a:latin typeface="+mn-lt"/>
              <a:ea typeface="+mn-ea"/>
              <a:cs typeface="+mn-cs"/>
            </a:rPr>
            <a:t>Flat</a:t>
          </a:r>
        </a:p>
      </xdr:txBody>
    </xdr:sp>
    <xdr:clientData/>
  </xdr:twoCellAnchor>
  <xdr:twoCellAnchor>
    <xdr:from>
      <xdr:col>11</xdr:col>
      <xdr:colOff>105508</xdr:colOff>
      <xdr:row>23</xdr:row>
      <xdr:rowOff>188669</xdr:rowOff>
    </xdr:from>
    <xdr:to>
      <xdr:col>12</xdr:col>
      <xdr:colOff>711508</xdr:colOff>
      <xdr:row>25</xdr:row>
      <xdr:rowOff>45795</xdr:rowOff>
    </xdr:to>
    <xdr:sp macro="" textlink="">
      <xdr:nvSpPr>
        <xdr:cNvPr id="29" name="Rechteck 28">
          <a:extLst>
            <a:ext uri="{FF2B5EF4-FFF2-40B4-BE49-F238E27FC236}">
              <a16:creationId xmlns:a16="http://schemas.microsoft.com/office/drawing/2014/main" id="{C4BDEA64-03C5-43E7-8AB9-B808E520B3FF}"/>
            </a:ext>
          </a:extLst>
        </xdr:cNvPr>
        <xdr:cNvSpPr/>
      </xdr:nvSpPr>
      <xdr:spPr>
        <a:xfrm>
          <a:off x="8487508" y="4570169"/>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BalancedUnbalanced</a:t>
          </a:r>
        </a:p>
      </xdr:txBody>
    </xdr:sp>
    <xdr:clientData/>
  </xdr:twoCellAnchor>
  <xdr:twoCellAnchor>
    <xdr:from>
      <xdr:col>11</xdr:col>
      <xdr:colOff>111644</xdr:colOff>
      <xdr:row>22</xdr:row>
      <xdr:rowOff>100013</xdr:rowOff>
    </xdr:from>
    <xdr:to>
      <xdr:col>12</xdr:col>
      <xdr:colOff>717644</xdr:colOff>
      <xdr:row>23</xdr:row>
      <xdr:rowOff>147639</xdr:rowOff>
    </xdr:to>
    <xdr:sp macro="" textlink="">
      <xdr:nvSpPr>
        <xdr:cNvPr id="30" name="Rechteck 29">
          <a:extLst>
            <a:ext uri="{FF2B5EF4-FFF2-40B4-BE49-F238E27FC236}">
              <a16:creationId xmlns:a16="http://schemas.microsoft.com/office/drawing/2014/main" id="{C891BAE6-88FF-487B-97E3-DE2F338CA7B2}"/>
            </a:ext>
          </a:extLst>
        </xdr:cNvPr>
        <xdr:cNvSpPr/>
      </xdr:nvSpPr>
      <xdr:spPr>
        <a:xfrm>
          <a:off x="8493644" y="4291013"/>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a:t>
          </a:r>
          <a:r>
            <a:rPr lang="de-DE" sz="900" b="0" baseline="0">
              <a:solidFill>
                <a:schemeClr val="dk1"/>
              </a:solidFill>
              <a:latin typeface="+mn-lt"/>
              <a:ea typeface="+mn-ea"/>
              <a:cs typeface="+mn-cs"/>
            </a:rPr>
            <a:t> </a:t>
          </a:r>
          <a:r>
            <a:rPr lang="de-DE" sz="900" b="0">
              <a:solidFill>
                <a:schemeClr val="dk1"/>
              </a:solidFill>
              <a:latin typeface="+mn-lt"/>
              <a:ea typeface="+mn-ea"/>
              <a:cs typeface="+mn-cs"/>
            </a:rPr>
            <a:t>Baseline</a:t>
          </a:r>
        </a:p>
      </xdr:txBody>
    </xdr:sp>
    <xdr:clientData/>
  </xdr:twoCellAnchor>
  <xdr:twoCellAnchor>
    <xdr:from>
      <xdr:col>11</xdr:col>
      <xdr:colOff>39383</xdr:colOff>
      <xdr:row>19</xdr:row>
      <xdr:rowOff>153041</xdr:rowOff>
    </xdr:from>
    <xdr:to>
      <xdr:col>13</xdr:col>
      <xdr:colOff>45383</xdr:colOff>
      <xdr:row>21</xdr:row>
      <xdr:rowOff>10167</xdr:rowOff>
    </xdr:to>
    <xdr:sp macro="" textlink="">
      <xdr:nvSpPr>
        <xdr:cNvPr id="31" name="Rechteck 30">
          <a:extLst>
            <a:ext uri="{FF2B5EF4-FFF2-40B4-BE49-F238E27FC236}">
              <a16:creationId xmlns:a16="http://schemas.microsoft.com/office/drawing/2014/main" id="{A3E6B108-AD3C-4C5A-AE0D-DC283E7BDE5B}"/>
            </a:ext>
          </a:extLst>
        </xdr:cNvPr>
        <xdr:cNvSpPr/>
      </xdr:nvSpPr>
      <xdr:spPr>
        <a:xfrm>
          <a:off x="8421383" y="3772541"/>
          <a:ext cx="1530000" cy="238126"/>
        </a:xfrm>
        <a:prstGeom prst="rect">
          <a:avLst/>
        </a:prstGeom>
        <a:solidFill>
          <a:srgbClr val="FFF6DD"/>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BackToFirst</a:t>
          </a:r>
        </a:p>
      </xdr:txBody>
    </xdr:sp>
    <xdr:clientData/>
  </xdr:twoCellAnchor>
  <xdr:twoCellAnchor>
    <xdr:from>
      <xdr:col>14</xdr:col>
      <xdr:colOff>652096</xdr:colOff>
      <xdr:row>21</xdr:row>
      <xdr:rowOff>36636</xdr:rowOff>
    </xdr:from>
    <xdr:to>
      <xdr:col>16</xdr:col>
      <xdr:colOff>658096</xdr:colOff>
      <xdr:row>25</xdr:row>
      <xdr:rowOff>124558</xdr:rowOff>
    </xdr:to>
    <xdr:sp macro="" textlink="">
      <xdr:nvSpPr>
        <xdr:cNvPr id="34" name="Rechteck 33">
          <a:extLst>
            <a:ext uri="{FF2B5EF4-FFF2-40B4-BE49-F238E27FC236}">
              <a16:creationId xmlns:a16="http://schemas.microsoft.com/office/drawing/2014/main" id="{979DDFBE-1568-4BD2-816D-091337930D94}"/>
            </a:ext>
          </a:extLst>
        </xdr:cNvPr>
        <xdr:cNvSpPr/>
      </xdr:nvSpPr>
      <xdr:spPr>
        <a:xfrm>
          <a:off x="11320096" y="4037136"/>
          <a:ext cx="1530000" cy="849922"/>
        </a:xfrm>
        <a:prstGeom prst="rect">
          <a:avLst/>
        </a:prstGeom>
        <a:solidFill>
          <a:srgbClr val="F1F8EC"/>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t>
          </a:r>
          <a:r>
            <a:rPr lang="de-DE" sz="900" b="0" baseline="0">
              <a:solidFill>
                <a:schemeClr val="dk1"/>
              </a:solidFill>
              <a:latin typeface="+mn-lt"/>
              <a:ea typeface="+mn-ea"/>
              <a:cs typeface="+mn-cs"/>
            </a:rPr>
            <a:t> </a:t>
          </a:r>
          <a:r>
            <a:rPr lang="de-DE" sz="900" b="0">
              <a:solidFill>
                <a:schemeClr val="dk1"/>
              </a:solidFill>
              <a:latin typeface="+mn-lt"/>
              <a:ea typeface="+mn-ea"/>
              <a:cs typeface="+mn-cs"/>
            </a:rPr>
            <a:t>Price Caps</a:t>
          </a:r>
        </a:p>
      </xdr:txBody>
    </xdr:sp>
    <xdr:clientData/>
  </xdr:twoCellAnchor>
  <xdr:twoCellAnchor>
    <xdr:from>
      <xdr:col>14</xdr:col>
      <xdr:colOff>663177</xdr:colOff>
      <xdr:row>18</xdr:row>
      <xdr:rowOff>60449</xdr:rowOff>
    </xdr:from>
    <xdr:to>
      <xdr:col>16</xdr:col>
      <xdr:colOff>669177</xdr:colOff>
      <xdr:row>19</xdr:row>
      <xdr:rowOff>108075</xdr:rowOff>
    </xdr:to>
    <xdr:sp macro="" textlink="">
      <xdr:nvSpPr>
        <xdr:cNvPr id="35" name="Rechteck 34">
          <a:extLst>
            <a:ext uri="{FF2B5EF4-FFF2-40B4-BE49-F238E27FC236}">
              <a16:creationId xmlns:a16="http://schemas.microsoft.com/office/drawing/2014/main" id="{0CF1A7E6-37E1-4C79-B17D-8C3EDBDB493C}"/>
            </a:ext>
          </a:extLst>
        </xdr:cNvPr>
        <xdr:cNvSpPr/>
      </xdr:nvSpPr>
      <xdr:spPr>
        <a:xfrm>
          <a:off x="11331177" y="3489449"/>
          <a:ext cx="1530000" cy="238126"/>
        </a:xfrm>
        <a:prstGeom prst="rect">
          <a:avLst/>
        </a:prstGeom>
        <a:solidFill>
          <a:srgbClr val="F1F8EC"/>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1000" b="0">
              <a:solidFill>
                <a:schemeClr val="dk1"/>
              </a:solidFill>
              <a:latin typeface="+mn-lt"/>
              <a:ea typeface="+mn-ea"/>
              <a:cs typeface="+mn-cs"/>
            </a:rPr>
            <a:t>a)</a:t>
          </a:r>
          <a:r>
            <a:rPr lang="de-DE" sz="1000" b="0" baseline="0">
              <a:solidFill>
                <a:schemeClr val="dk1"/>
              </a:solidFill>
              <a:latin typeface="+mn-lt"/>
              <a:ea typeface="+mn-ea"/>
              <a:cs typeface="+mn-cs"/>
            </a:rPr>
            <a:t> </a:t>
          </a:r>
          <a:r>
            <a:rPr lang="de-DE" sz="1000" b="0">
              <a:solidFill>
                <a:schemeClr val="dk1"/>
              </a:solidFill>
              <a:latin typeface="+mn-lt"/>
              <a:ea typeface="+mn-ea"/>
              <a:cs typeface="+mn-cs"/>
            </a:rPr>
            <a:t>Flat</a:t>
          </a:r>
        </a:p>
      </xdr:txBody>
    </xdr:sp>
    <xdr:clientData/>
  </xdr:twoCellAnchor>
  <xdr:twoCellAnchor>
    <xdr:from>
      <xdr:col>14</xdr:col>
      <xdr:colOff>720969</xdr:colOff>
      <xdr:row>23</xdr:row>
      <xdr:rowOff>181342</xdr:rowOff>
    </xdr:from>
    <xdr:to>
      <xdr:col>16</xdr:col>
      <xdr:colOff>564969</xdr:colOff>
      <xdr:row>25</xdr:row>
      <xdr:rowOff>38468</xdr:rowOff>
    </xdr:to>
    <xdr:sp macro="" textlink="">
      <xdr:nvSpPr>
        <xdr:cNvPr id="36" name="Rechteck 35">
          <a:extLst>
            <a:ext uri="{FF2B5EF4-FFF2-40B4-BE49-F238E27FC236}">
              <a16:creationId xmlns:a16="http://schemas.microsoft.com/office/drawing/2014/main" id="{108AE4B4-353C-48BD-AFEF-A279CA6A8683}"/>
            </a:ext>
          </a:extLst>
        </xdr:cNvPr>
        <xdr:cNvSpPr/>
      </xdr:nvSpPr>
      <xdr:spPr>
        <a:xfrm>
          <a:off x="11388969" y="4562842"/>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BalancedUnbalanced</a:t>
          </a:r>
        </a:p>
      </xdr:txBody>
    </xdr:sp>
    <xdr:clientData/>
  </xdr:twoCellAnchor>
  <xdr:twoCellAnchor>
    <xdr:from>
      <xdr:col>14</xdr:col>
      <xdr:colOff>727105</xdr:colOff>
      <xdr:row>22</xdr:row>
      <xdr:rowOff>92686</xdr:rowOff>
    </xdr:from>
    <xdr:to>
      <xdr:col>16</xdr:col>
      <xdr:colOff>571105</xdr:colOff>
      <xdr:row>23</xdr:row>
      <xdr:rowOff>140312</xdr:rowOff>
    </xdr:to>
    <xdr:sp macro="" textlink="">
      <xdr:nvSpPr>
        <xdr:cNvPr id="37" name="Rechteck 36">
          <a:extLst>
            <a:ext uri="{FF2B5EF4-FFF2-40B4-BE49-F238E27FC236}">
              <a16:creationId xmlns:a16="http://schemas.microsoft.com/office/drawing/2014/main" id="{7DACD942-DDE5-45DD-B71C-520814CB67E1}"/>
            </a:ext>
          </a:extLst>
        </xdr:cNvPr>
        <xdr:cNvSpPr/>
      </xdr:nvSpPr>
      <xdr:spPr>
        <a:xfrm>
          <a:off x="11395105" y="4283686"/>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a:t>
          </a:r>
          <a:r>
            <a:rPr lang="de-DE" sz="900" b="0" baseline="0">
              <a:solidFill>
                <a:schemeClr val="dk1"/>
              </a:solidFill>
              <a:latin typeface="+mn-lt"/>
              <a:ea typeface="+mn-ea"/>
              <a:cs typeface="+mn-cs"/>
            </a:rPr>
            <a:t> </a:t>
          </a:r>
          <a:r>
            <a:rPr lang="de-DE" sz="900" b="0">
              <a:solidFill>
                <a:schemeClr val="dk1"/>
              </a:solidFill>
              <a:latin typeface="+mn-lt"/>
              <a:ea typeface="+mn-ea"/>
              <a:cs typeface="+mn-cs"/>
            </a:rPr>
            <a:t>Baseline</a:t>
          </a:r>
        </a:p>
      </xdr:txBody>
    </xdr:sp>
    <xdr:clientData/>
  </xdr:twoCellAnchor>
  <xdr:twoCellAnchor>
    <xdr:from>
      <xdr:col>14</xdr:col>
      <xdr:colOff>654844</xdr:colOff>
      <xdr:row>19</xdr:row>
      <xdr:rowOff>145714</xdr:rowOff>
    </xdr:from>
    <xdr:to>
      <xdr:col>16</xdr:col>
      <xdr:colOff>660844</xdr:colOff>
      <xdr:row>21</xdr:row>
      <xdr:rowOff>2840</xdr:rowOff>
    </xdr:to>
    <xdr:sp macro="" textlink="">
      <xdr:nvSpPr>
        <xdr:cNvPr id="38" name="Rechteck 37">
          <a:extLst>
            <a:ext uri="{FF2B5EF4-FFF2-40B4-BE49-F238E27FC236}">
              <a16:creationId xmlns:a16="http://schemas.microsoft.com/office/drawing/2014/main" id="{1967B2F5-9687-4DEF-A3BE-59C804FEA15E}"/>
            </a:ext>
          </a:extLst>
        </xdr:cNvPr>
        <xdr:cNvSpPr/>
      </xdr:nvSpPr>
      <xdr:spPr>
        <a:xfrm>
          <a:off x="11322844" y="3765214"/>
          <a:ext cx="1530000" cy="238126"/>
        </a:xfrm>
        <a:prstGeom prst="rect">
          <a:avLst/>
        </a:prstGeom>
        <a:solidFill>
          <a:srgbClr val="F1F8EC"/>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BackToFirst</a:t>
          </a:r>
        </a:p>
      </xdr:txBody>
    </xdr:sp>
    <xdr:clientData/>
  </xdr:twoCellAnchor>
  <xdr:twoCellAnchor>
    <xdr:from>
      <xdr:col>7</xdr:col>
      <xdr:colOff>212481</xdr:colOff>
      <xdr:row>21</xdr:row>
      <xdr:rowOff>51290</xdr:rowOff>
    </xdr:from>
    <xdr:to>
      <xdr:col>9</xdr:col>
      <xdr:colOff>218481</xdr:colOff>
      <xdr:row>25</xdr:row>
      <xdr:rowOff>139212</xdr:rowOff>
    </xdr:to>
    <xdr:sp macro="" textlink="">
      <xdr:nvSpPr>
        <xdr:cNvPr id="40" name="Rechteck 39">
          <a:extLst>
            <a:ext uri="{FF2B5EF4-FFF2-40B4-BE49-F238E27FC236}">
              <a16:creationId xmlns:a16="http://schemas.microsoft.com/office/drawing/2014/main" id="{C73771C1-4C8E-4EA7-A32A-0C5C564BF346}"/>
            </a:ext>
          </a:extLst>
        </xdr:cNvPr>
        <xdr:cNvSpPr/>
      </xdr:nvSpPr>
      <xdr:spPr>
        <a:xfrm>
          <a:off x="5546481" y="4051790"/>
          <a:ext cx="1530000" cy="849922"/>
        </a:xfrm>
        <a:prstGeom prst="rect">
          <a:avLst/>
        </a:prstGeom>
        <a:solidFill>
          <a:srgbClr val="FBFBFB"/>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t>
          </a:r>
          <a:r>
            <a:rPr lang="de-DE" sz="900" b="0" baseline="0">
              <a:solidFill>
                <a:schemeClr val="dk1"/>
              </a:solidFill>
              <a:latin typeface="+mn-lt"/>
              <a:ea typeface="+mn-ea"/>
              <a:cs typeface="+mn-cs"/>
            </a:rPr>
            <a:t> </a:t>
          </a:r>
          <a:r>
            <a:rPr lang="de-DE" sz="900" b="0">
              <a:solidFill>
                <a:schemeClr val="dk1"/>
              </a:solidFill>
              <a:latin typeface="+mn-lt"/>
              <a:ea typeface="+mn-ea"/>
              <a:cs typeface="+mn-cs"/>
            </a:rPr>
            <a:t>Price Caps</a:t>
          </a:r>
        </a:p>
      </xdr:txBody>
    </xdr:sp>
    <xdr:clientData/>
  </xdr:twoCellAnchor>
  <xdr:twoCellAnchor>
    <xdr:from>
      <xdr:col>7</xdr:col>
      <xdr:colOff>223562</xdr:colOff>
      <xdr:row>18</xdr:row>
      <xdr:rowOff>75103</xdr:rowOff>
    </xdr:from>
    <xdr:to>
      <xdr:col>9</xdr:col>
      <xdr:colOff>229562</xdr:colOff>
      <xdr:row>19</xdr:row>
      <xdr:rowOff>122729</xdr:rowOff>
    </xdr:to>
    <xdr:sp macro="" textlink="">
      <xdr:nvSpPr>
        <xdr:cNvPr id="41" name="Rechteck 40">
          <a:extLst>
            <a:ext uri="{FF2B5EF4-FFF2-40B4-BE49-F238E27FC236}">
              <a16:creationId xmlns:a16="http://schemas.microsoft.com/office/drawing/2014/main" id="{DDCC2E14-80CC-4DE7-8594-548DDCE0E936}"/>
            </a:ext>
          </a:extLst>
        </xdr:cNvPr>
        <xdr:cNvSpPr/>
      </xdr:nvSpPr>
      <xdr:spPr>
        <a:xfrm>
          <a:off x="5557562" y="3504103"/>
          <a:ext cx="1530000" cy="238126"/>
        </a:xfrm>
        <a:prstGeom prst="rect">
          <a:avLst/>
        </a:prstGeom>
        <a:solidFill>
          <a:srgbClr val="FBFBFB"/>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1000" b="0">
              <a:solidFill>
                <a:schemeClr val="dk1"/>
              </a:solidFill>
              <a:latin typeface="+mn-lt"/>
              <a:ea typeface="+mn-ea"/>
              <a:cs typeface="+mn-cs"/>
            </a:rPr>
            <a:t>a)</a:t>
          </a:r>
          <a:r>
            <a:rPr lang="de-DE" sz="1000" b="0" baseline="0">
              <a:solidFill>
                <a:schemeClr val="dk1"/>
              </a:solidFill>
              <a:latin typeface="+mn-lt"/>
              <a:ea typeface="+mn-ea"/>
              <a:cs typeface="+mn-cs"/>
            </a:rPr>
            <a:t> </a:t>
          </a:r>
          <a:r>
            <a:rPr lang="de-DE" sz="1000" b="0">
              <a:solidFill>
                <a:schemeClr val="dk1"/>
              </a:solidFill>
              <a:latin typeface="+mn-lt"/>
              <a:ea typeface="+mn-ea"/>
              <a:cs typeface="+mn-cs"/>
            </a:rPr>
            <a:t>Flat</a:t>
          </a:r>
        </a:p>
      </xdr:txBody>
    </xdr:sp>
    <xdr:clientData/>
  </xdr:twoCellAnchor>
  <xdr:twoCellAnchor>
    <xdr:from>
      <xdr:col>7</xdr:col>
      <xdr:colOff>281354</xdr:colOff>
      <xdr:row>24</xdr:row>
      <xdr:rowOff>5496</xdr:rowOff>
    </xdr:from>
    <xdr:to>
      <xdr:col>9</xdr:col>
      <xdr:colOff>125354</xdr:colOff>
      <xdr:row>25</xdr:row>
      <xdr:rowOff>53122</xdr:rowOff>
    </xdr:to>
    <xdr:sp macro="" textlink="">
      <xdr:nvSpPr>
        <xdr:cNvPr id="42" name="Rechteck 41">
          <a:extLst>
            <a:ext uri="{FF2B5EF4-FFF2-40B4-BE49-F238E27FC236}">
              <a16:creationId xmlns:a16="http://schemas.microsoft.com/office/drawing/2014/main" id="{56E90F4E-E6D8-4748-AB63-12975B66FD30}"/>
            </a:ext>
          </a:extLst>
        </xdr:cNvPr>
        <xdr:cNvSpPr/>
      </xdr:nvSpPr>
      <xdr:spPr>
        <a:xfrm>
          <a:off x="5615354" y="4577496"/>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BalancedUnbalanced</a:t>
          </a:r>
        </a:p>
      </xdr:txBody>
    </xdr:sp>
    <xdr:clientData/>
  </xdr:twoCellAnchor>
  <xdr:twoCellAnchor>
    <xdr:from>
      <xdr:col>7</xdr:col>
      <xdr:colOff>287490</xdr:colOff>
      <xdr:row>22</xdr:row>
      <xdr:rowOff>107340</xdr:rowOff>
    </xdr:from>
    <xdr:to>
      <xdr:col>9</xdr:col>
      <xdr:colOff>131490</xdr:colOff>
      <xdr:row>23</xdr:row>
      <xdr:rowOff>154966</xdr:rowOff>
    </xdr:to>
    <xdr:sp macro="" textlink="">
      <xdr:nvSpPr>
        <xdr:cNvPr id="43" name="Rechteck 42">
          <a:extLst>
            <a:ext uri="{FF2B5EF4-FFF2-40B4-BE49-F238E27FC236}">
              <a16:creationId xmlns:a16="http://schemas.microsoft.com/office/drawing/2014/main" id="{D195B2B6-D4D1-49E8-8243-4F745E28B781}"/>
            </a:ext>
          </a:extLst>
        </xdr:cNvPr>
        <xdr:cNvSpPr/>
      </xdr:nvSpPr>
      <xdr:spPr>
        <a:xfrm>
          <a:off x="5621490" y="4298340"/>
          <a:ext cx="1368000" cy="238126"/>
        </a:xfrm>
        <a:prstGeom prst="rect">
          <a:avLst/>
        </a:prstGeom>
        <a:solidFill>
          <a:schemeClr val="bg1"/>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ca)</a:t>
          </a:r>
          <a:r>
            <a:rPr lang="de-DE" sz="900" b="0" baseline="0">
              <a:solidFill>
                <a:schemeClr val="dk1"/>
              </a:solidFill>
              <a:latin typeface="+mn-lt"/>
              <a:ea typeface="+mn-ea"/>
              <a:cs typeface="+mn-cs"/>
            </a:rPr>
            <a:t> </a:t>
          </a:r>
          <a:r>
            <a:rPr lang="de-DE" sz="900" b="0">
              <a:solidFill>
                <a:schemeClr val="dk1"/>
              </a:solidFill>
              <a:latin typeface="+mn-lt"/>
              <a:ea typeface="+mn-ea"/>
              <a:cs typeface="+mn-cs"/>
            </a:rPr>
            <a:t>Baseline</a:t>
          </a:r>
        </a:p>
      </xdr:txBody>
    </xdr:sp>
    <xdr:clientData/>
  </xdr:twoCellAnchor>
  <xdr:twoCellAnchor>
    <xdr:from>
      <xdr:col>7</xdr:col>
      <xdr:colOff>215229</xdr:colOff>
      <xdr:row>19</xdr:row>
      <xdr:rowOff>160368</xdr:rowOff>
    </xdr:from>
    <xdr:to>
      <xdr:col>9</xdr:col>
      <xdr:colOff>221229</xdr:colOff>
      <xdr:row>21</xdr:row>
      <xdr:rowOff>17494</xdr:rowOff>
    </xdr:to>
    <xdr:sp macro="" textlink="">
      <xdr:nvSpPr>
        <xdr:cNvPr id="44" name="Rechteck 43">
          <a:extLst>
            <a:ext uri="{FF2B5EF4-FFF2-40B4-BE49-F238E27FC236}">
              <a16:creationId xmlns:a16="http://schemas.microsoft.com/office/drawing/2014/main" id="{4EA3CA5A-0859-48E9-B047-FB0D6D8387E8}"/>
            </a:ext>
          </a:extLst>
        </xdr:cNvPr>
        <xdr:cNvSpPr/>
      </xdr:nvSpPr>
      <xdr:spPr>
        <a:xfrm>
          <a:off x="5549229" y="3779868"/>
          <a:ext cx="1530000" cy="238126"/>
        </a:xfrm>
        <a:prstGeom prst="rect">
          <a:avLst/>
        </a:prstGeom>
        <a:solidFill>
          <a:srgbClr val="FBFBFB"/>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de-DE" sz="900" b="0">
              <a:solidFill>
                <a:schemeClr val="dk1"/>
              </a:solidFill>
              <a:latin typeface="+mn-lt"/>
              <a:ea typeface="+mn-ea"/>
              <a:cs typeface="+mn-cs"/>
            </a:rPr>
            <a:t>b)</a:t>
          </a:r>
          <a:r>
            <a:rPr lang="de-DE" sz="900" b="0" baseline="0">
              <a:solidFill>
                <a:schemeClr val="dk1"/>
              </a:solidFill>
              <a:latin typeface="+mn-lt"/>
              <a:ea typeface="+mn-ea"/>
              <a:cs typeface="+mn-cs"/>
            </a:rPr>
            <a:t> </a:t>
          </a:r>
          <a:r>
            <a:rPr lang="de-DE" sz="900" b="0">
              <a:solidFill>
                <a:schemeClr val="dk1"/>
              </a:solidFill>
              <a:latin typeface="+mn-lt"/>
              <a:ea typeface="+mn-ea"/>
              <a:cs typeface="+mn-cs"/>
            </a:rPr>
            <a:t>BackToFirst</a:t>
          </a:r>
        </a:p>
      </xdr:txBody>
    </xdr:sp>
    <xdr:clientData/>
  </xdr:twoCellAnchor>
  <xdr:twoCellAnchor>
    <xdr:from>
      <xdr:col>18</xdr:col>
      <xdr:colOff>91108</xdr:colOff>
      <xdr:row>4</xdr:row>
      <xdr:rowOff>16565</xdr:rowOff>
    </xdr:from>
    <xdr:to>
      <xdr:col>21</xdr:col>
      <xdr:colOff>738808</xdr:colOff>
      <xdr:row>33</xdr:row>
      <xdr:rowOff>74543</xdr:rowOff>
    </xdr:to>
    <xdr:sp macro="" textlink="">
      <xdr:nvSpPr>
        <xdr:cNvPr id="45" name="Rechteck 44">
          <a:extLst>
            <a:ext uri="{FF2B5EF4-FFF2-40B4-BE49-F238E27FC236}">
              <a16:creationId xmlns:a16="http://schemas.microsoft.com/office/drawing/2014/main" id="{3A80ED9B-ECFF-4629-91F7-DF46AB8046FB}"/>
            </a:ext>
          </a:extLst>
        </xdr:cNvPr>
        <xdr:cNvSpPr/>
      </xdr:nvSpPr>
      <xdr:spPr>
        <a:xfrm>
          <a:off x="13807108" y="778565"/>
          <a:ext cx="2933700" cy="5582478"/>
        </a:xfrm>
        <a:prstGeom prst="rect">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endParaRPr lang="de-DE" sz="1400" b="1">
            <a:solidFill>
              <a:schemeClr val="tx1"/>
            </a:solidFill>
          </a:endParaRPr>
        </a:p>
      </xdr:txBody>
    </xdr:sp>
    <xdr:clientData/>
  </xdr:twoCellAnchor>
  <xdr:twoCellAnchor>
    <xdr:from>
      <xdr:col>18</xdr:col>
      <xdr:colOff>224456</xdr:colOff>
      <xdr:row>10</xdr:row>
      <xdr:rowOff>111813</xdr:rowOff>
    </xdr:from>
    <xdr:to>
      <xdr:col>21</xdr:col>
      <xdr:colOff>576881</xdr:colOff>
      <xdr:row>31</xdr:row>
      <xdr:rowOff>124239</xdr:rowOff>
    </xdr:to>
    <xdr:sp macro="" textlink="">
      <xdr:nvSpPr>
        <xdr:cNvPr id="46" name="Rechteck 45">
          <a:extLst>
            <a:ext uri="{FF2B5EF4-FFF2-40B4-BE49-F238E27FC236}">
              <a16:creationId xmlns:a16="http://schemas.microsoft.com/office/drawing/2014/main" id="{90CC7E86-B658-466E-947E-F3D2F501EDB7}"/>
            </a:ext>
          </a:extLst>
        </xdr:cNvPr>
        <xdr:cNvSpPr/>
      </xdr:nvSpPr>
      <xdr:spPr>
        <a:xfrm>
          <a:off x="13940456" y="2016813"/>
          <a:ext cx="2638425" cy="4012926"/>
        </a:xfrm>
        <a:prstGeom prst="rect">
          <a:avLst/>
        </a:prstGeom>
        <a:solidFill>
          <a:schemeClr val="accent6">
            <a:lumMod val="60000"/>
            <a:lumOff val="40000"/>
            <a:alpha val="50000"/>
          </a:schemeClr>
        </a:solidFill>
        <a:ln>
          <a:solidFill>
            <a:srgbClr val="002060"/>
          </a:solidFill>
        </a:ln>
        <a:effectLst>
          <a:outerShdw blurRad="50800" dist="38100" dir="18900000" algn="bl" rotWithShape="0">
            <a:prstClr val="black">
              <a:alpha val="40000"/>
            </a:prstClr>
          </a:outerShdw>
          <a:softEdge rad="12700"/>
        </a:effectLst>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Prio2</a:t>
          </a:r>
          <a:r>
            <a:rPr lang="de-DE" sz="1100" b="1" baseline="0">
              <a:solidFill>
                <a:schemeClr val="dk1"/>
              </a:solidFill>
              <a:latin typeface="+mn-lt"/>
              <a:ea typeface="+mn-ea"/>
              <a:cs typeface="+mn-cs"/>
            </a:rPr>
            <a:t> within bucket DATA M2M</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[SendorPay: </a:t>
          </a:r>
          <a:r>
            <a:rPr lang="de-DE" sz="1000" b="0" baseline="0">
              <a:solidFill>
                <a:schemeClr val="dk1"/>
              </a:solidFill>
              <a:latin typeface="+mn-lt"/>
              <a:ea typeface="+mn-ea"/>
              <a:cs typeface="+mn-cs"/>
            </a:rPr>
            <a:t>revenue Commitment </a:t>
          </a:r>
          <a:r>
            <a:rPr lang="de-DE" sz="1000" b="0">
              <a:solidFill>
                <a:schemeClr val="dk1"/>
              </a:solidFill>
              <a:latin typeface="+mn-lt"/>
              <a:ea typeface="+mn-ea"/>
              <a:cs typeface="+mn-cs"/>
            </a:rPr>
            <a:t>]</a:t>
          </a: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endParaRPr lang="de-DE" sz="1000" b="0">
            <a:solidFill>
              <a:schemeClr val="dk1"/>
            </a:solidFill>
            <a:latin typeface="+mn-lt"/>
            <a:ea typeface="+mn-ea"/>
            <a:cs typeface="+mn-cs"/>
          </a:endParaRPr>
        </a:p>
        <a:p>
          <a:pPr marL="0" indent="0" algn="ctr"/>
          <a:r>
            <a:rPr lang="de-DE" sz="1000" b="0">
              <a:solidFill>
                <a:schemeClr val="dk1"/>
              </a:solidFill>
              <a:latin typeface="+mn-lt"/>
              <a:ea typeface="+mn-ea"/>
              <a:cs typeface="+mn-cs"/>
            </a:rPr>
            <a:t>calculation IMSI based</a:t>
          </a:r>
        </a:p>
      </xdr:txBody>
    </xdr:sp>
    <xdr:clientData/>
  </xdr:twoCellAnchor>
  <xdr:twoCellAnchor>
    <xdr:from>
      <xdr:col>18</xdr:col>
      <xdr:colOff>224457</xdr:colOff>
      <xdr:row>8</xdr:row>
      <xdr:rowOff>121340</xdr:rowOff>
    </xdr:from>
    <xdr:to>
      <xdr:col>21</xdr:col>
      <xdr:colOff>595932</xdr:colOff>
      <xdr:row>10</xdr:row>
      <xdr:rowOff>35615</xdr:rowOff>
    </xdr:to>
    <xdr:sp macro="" textlink="">
      <xdr:nvSpPr>
        <xdr:cNvPr id="47" name="Rechteck 46">
          <a:extLst>
            <a:ext uri="{FF2B5EF4-FFF2-40B4-BE49-F238E27FC236}">
              <a16:creationId xmlns:a16="http://schemas.microsoft.com/office/drawing/2014/main" id="{1D9AABCA-5438-463C-ACB7-0AAA80BFFC54}"/>
            </a:ext>
          </a:extLst>
        </xdr:cNvPr>
        <xdr:cNvSpPr/>
      </xdr:nvSpPr>
      <xdr:spPr>
        <a:xfrm>
          <a:off x="13940457" y="1645340"/>
          <a:ext cx="2657475" cy="295275"/>
        </a:xfrm>
        <a:prstGeom prst="rect">
          <a:avLst/>
        </a:prstGeom>
        <a:solidFill>
          <a:schemeClr val="accent6">
            <a:lumMod val="75000"/>
          </a:schemeClr>
        </a:solidFill>
        <a:effectLst>
          <a:outerShdw blurRad="50800" dist="38100" dir="18900000" algn="bl"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de-DE" sz="1400" b="1">
              <a:solidFill>
                <a:schemeClr val="bg1"/>
              </a:solidFill>
            </a:rPr>
            <a:t>DATA M2M</a:t>
          </a:r>
        </a:p>
      </xdr:txBody>
    </xdr:sp>
    <xdr:clientData/>
  </xdr:twoCellAnchor>
  <xdr:twoCellAnchor>
    <xdr:from>
      <xdr:col>18</xdr:col>
      <xdr:colOff>624507</xdr:colOff>
      <xdr:row>13</xdr:row>
      <xdr:rowOff>188015</xdr:rowOff>
    </xdr:from>
    <xdr:to>
      <xdr:col>21</xdr:col>
      <xdr:colOff>262557</xdr:colOff>
      <xdr:row>19</xdr:row>
      <xdr:rowOff>149915</xdr:rowOff>
    </xdr:to>
    <xdr:sp macro="" textlink="">
      <xdr:nvSpPr>
        <xdr:cNvPr id="48" name="Rechteck 47">
          <a:extLst>
            <a:ext uri="{FF2B5EF4-FFF2-40B4-BE49-F238E27FC236}">
              <a16:creationId xmlns:a16="http://schemas.microsoft.com/office/drawing/2014/main" id="{14EBAC3D-A5BE-46D0-9894-789F6E599697}"/>
            </a:ext>
          </a:extLst>
        </xdr:cNvPr>
        <xdr:cNvSpPr/>
      </xdr:nvSpPr>
      <xdr:spPr>
        <a:xfrm>
          <a:off x="14340507" y="2664515"/>
          <a:ext cx="1924050" cy="1104900"/>
        </a:xfrm>
        <a:prstGeom prst="rect">
          <a:avLst/>
        </a:prstGeom>
        <a:solidFill>
          <a:schemeClr val="accent6">
            <a:lumMod val="20000"/>
            <a:lumOff val="80000"/>
          </a:schemeClr>
        </a:solidFill>
        <a:effectLst>
          <a:outerShdw blurRad="50800" dist="38100" dir="18900000" algn="bl" rotWithShape="0">
            <a:prstClr val="black">
              <a:alpha val="40000"/>
            </a:prstClr>
          </a:outerShdw>
          <a:softEdge rad="12700"/>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de-DE" sz="1100" b="1">
              <a:solidFill>
                <a:schemeClr val="dk1"/>
              </a:solidFill>
              <a:latin typeface="+mn-lt"/>
              <a:ea typeface="+mn-ea"/>
              <a:cs typeface="+mn-cs"/>
            </a:rPr>
            <a:t>Calculation Prio1</a:t>
          </a:r>
          <a:r>
            <a:rPr lang="de-DE" sz="1100" b="1" baseline="0">
              <a:solidFill>
                <a:schemeClr val="dk1"/>
              </a:solidFill>
              <a:latin typeface="+mn-lt"/>
              <a:ea typeface="+mn-ea"/>
              <a:cs typeface="+mn-cs"/>
            </a:rPr>
            <a:t> within bucket DATA</a:t>
          </a:r>
          <a:endParaRPr lang="de-DE" sz="1100" b="1">
            <a:solidFill>
              <a:schemeClr val="dk1"/>
            </a:solidFill>
            <a:latin typeface="+mn-lt"/>
            <a:ea typeface="+mn-ea"/>
            <a:cs typeface="+mn-cs"/>
          </a:endParaRPr>
        </a:p>
        <a:p>
          <a:pPr marL="0" indent="0" algn="ctr"/>
          <a:r>
            <a:rPr lang="de-DE" sz="1000" b="0">
              <a:solidFill>
                <a:schemeClr val="dk1"/>
              </a:solidFill>
              <a:latin typeface="+mn-lt"/>
              <a:ea typeface="+mn-ea"/>
              <a:cs typeface="+mn-cs"/>
            </a:rPr>
            <a:t>[Flat, Baseline]</a:t>
          </a:r>
        </a:p>
      </xdr:txBody>
    </xdr:sp>
    <xdr:clientData/>
  </xdr:twoCellAnchor>
  <xdr:twoCellAnchor>
    <xdr:from>
      <xdr:col>13</xdr:col>
      <xdr:colOff>554934</xdr:colOff>
      <xdr:row>5</xdr:row>
      <xdr:rowOff>66261</xdr:rowOff>
    </xdr:from>
    <xdr:to>
      <xdr:col>20</xdr:col>
      <xdr:colOff>102497</xdr:colOff>
      <xdr:row>8</xdr:row>
      <xdr:rowOff>75786</xdr:rowOff>
    </xdr:to>
    <xdr:cxnSp macro="">
      <xdr:nvCxnSpPr>
        <xdr:cNvPr id="49" name="Verbinder: gewinkelt 48">
          <a:extLst>
            <a:ext uri="{FF2B5EF4-FFF2-40B4-BE49-F238E27FC236}">
              <a16:creationId xmlns:a16="http://schemas.microsoft.com/office/drawing/2014/main" id="{E001A3D5-913A-47CA-B266-8D389E45F22C}"/>
            </a:ext>
          </a:extLst>
        </xdr:cNvPr>
        <xdr:cNvCxnSpPr/>
      </xdr:nvCxnSpPr>
      <xdr:spPr>
        <a:xfrm rot="16200000" flipV="1">
          <a:off x="12611203" y="-1131508"/>
          <a:ext cx="581025" cy="4881563"/>
        </a:xfrm>
        <a:prstGeom prst="bentConnector2">
          <a:avLst/>
        </a:prstGeom>
        <a:ln w="28575">
          <a:prstDash val="sysDot"/>
          <a:tailEnd type="triangle"/>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14</xdr:col>
      <xdr:colOff>165651</xdr:colOff>
      <xdr:row>4</xdr:row>
      <xdr:rowOff>24848</xdr:rowOff>
    </xdr:from>
    <xdr:ext cx="2680542" cy="264560"/>
    <xdr:sp macro="" textlink="">
      <xdr:nvSpPr>
        <xdr:cNvPr id="50" name="Textfeld 49">
          <a:extLst>
            <a:ext uri="{FF2B5EF4-FFF2-40B4-BE49-F238E27FC236}">
              <a16:creationId xmlns:a16="http://schemas.microsoft.com/office/drawing/2014/main" id="{C7AEE901-C3EB-4D1E-9F02-9F7F1CB9B354}"/>
            </a:ext>
          </a:extLst>
        </xdr:cNvPr>
        <xdr:cNvSpPr txBox="1"/>
      </xdr:nvSpPr>
      <xdr:spPr>
        <a:xfrm>
          <a:off x="10833651" y="786848"/>
          <a:ext cx="26805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a:t>counts</a:t>
          </a:r>
          <a:r>
            <a:rPr lang="de-DE" sz="1100" baseline="0"/>
            <a:t> into achieving revenue commitment</a:t>
          </a:r>
        </a:p>
      </xdr:txBody>
    </xdr:sp>
    <xdr:clientData/>
  </xdr:one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3546A-5E0D-46FA-9DFA-EE42A4029FB3}">
  <sheetPr>
    <tabColor rgb="FF002060"/>
  </sheetPr>
  <dimension ref="A1:M37"/>
  <sheetViews>
    <sheetView zoomScale="115" zoomScaleNormal="115" workbookViewId="0">
      <selection activeCell="A20" sqref="A20"/>
    </sheetView>
  </sheetViews>
  <sheetFormatPr baseColWidth="10" defaultRowHeight="15" outlineLevelRow="1" x14ac:dyDescent="0.25"/>
  <cols>
    <col min="1" max="1" width="27.140625" style="1" bestFit="1" customWidth="1"/>
    <col min="2" max="2" width="11" style="18" customWidth="1"/>
    <col min="3" max="3" width="32.42578125" style="1" customWidth="1"/>
    <col min="4" max="4" width="11.42578125" style="1"/>
    <col min="5" max="5" width="5.5703125" style="1" bestFit="1" customWidth="1"/>
    <col min="6" max="6" width="5.140625" style="1" bestFit="1" customWidth="1"/>
    <col min="7" max="7" width="5" style="1" bestFit="1" customWidth="1"/>
    <col min="8" max="8" width="6" style="1" bestFit="1" customWidth="1"/>
    <col min="9" max="9" width="11.42578125" style="1"/>
    <col min="10" max="10" width="5.5703125" style="1" bestFit="1" customWidth="1"/>
    <col min="11" max="11" width="5.140625" style="1" bestFit="1" customWidth="1"/>
    <col min="12" max="12" width="5" style="1" bestFit="1" customWidth="1"/>
    <col min="13" max="13" width="6" style="1" bestFit="1" customWidth="1"/>
    <col min="14" max="16384" width="11.42578125" style="1"/>
  </cols>
  <sheetData>
    <row r="1" spans="1:13" x14ac:dyDescent="0.25">
      <c r="A1" s="10" t="s">
        <v>117</v>
      </c>
      <c r="B1" s="11"/>
    </row>
    <row r="2" spans="1:13" hidden="1" outlineLevel="1" x14ac:dyDescent="0.25">
      <c r="A2" s="1" t="s">
        <v>118</v>
      </c>
      <c r="C2" s="1" t="s">
        <v>119</v>
      </c>
    </row>
    <row r="3" spans="1:13" hidden="1" outlineLevel="1" x14ac:dyDescent="0.25"/>
    <row r="4" spans="1:13" hidden="1" outlineLevel="1" x14ac:dyDescent="0.25"/>
    <row r="5" spans="1:13" hidden="1" outlineLevel="1" x14ac:dyDescent="0.25"/>
    <row r="6" spans="1:13" hidden="1" outlineLevel="1" x14ac:dyDescent="0.25"/>
    <row r="7" spans="1:13" collapsed="1" x14ac:dyDescent="0.25"/>
    <row r="8" spans="1:13" ht="30" x14ac:dyDescent="0.25">
      <c r="A8" s="168" t="s">
        <v>22</v>
      </c>
      <c r="B8" s="169" t="s">
        <v>156</v>
      </c>
      <c r="C8" s="170" t="s">
        <v>22</v>
      </c>
      <c r="D8" s="171" t="s">
        <v>20</v>
      </c>
      <c r="E8" s="172" t="s">
        <v>6</v>
      </c>
      <c r="F8" s="172" t="s">
        <v>7</v>
      </c>
      <c r="G8" s="172" t="s">
        <v>8</v>
      </c>
      <c r="H8" s="173" t="s">
        <v>9</v>
      </c>
      <c r="I8" s="171" t="s">
        <v>20</v>
      </c>
      <c r="J8" s="172" t="s">
        <v>6</v>
      </c>
      <c r="K8" s="172" t="s">
        <v>7</v>
      </c>
      <c r="L8" s="172" t="s">
        <v>8</v>
      </c>
      <c r="M8" s="173" t="s">
        <v>9</v>
      </c>
    </row>
    <row r="9" spans="1:13" x14ac:dyDescent="0.25">
      <c r="A9" s="190" t="s">
        <v>44</v>
      </c>
      <c r="B9" s="191">
        <v>1</v>
      </c>
      <c r="C9" s="192" t="s">
        <v>50</v>
      </c>
      <c r="D9" s="193" t="s">
        <v>18</v>
      </c>
      <c r="E9" s="194">
        <f ca="1">INDIRECT($C9&amp;"!J5")</f>
        <v>1</v>
      </c>
      <c r="F9" s="194">
        <f ca="1">INDIRECT($C9&amp;"!K5")</f>
        <v>-0.01</v>
      </c>
      <c r="G9" s="194">
        <f ca="1">INDIRECT($C9&amp;"!L5")</f>
        <v>1</v>
      </c>
      <c r="H9" s="195">
        <f ca="1">INDIRECT($C9&amp;"!M5")</f>
        <v>1</v>
      </c>
      <c r="I9" s="193" t="s">
        <v>19</v>
      </c>
      <c r="J9" s="194">
        <f ca="1">INDIRECT($C9&amp;"!J6")</f>
        <v>1</v>
      </c>
      <c r="K9" s="194">
        <f ca="1">INDIRECT($C9&amp;"!K6")</f>
        <v>-0.01</v>
      </c>
      <c r="L9" s="194">
        <f ca="1">INDIRECT($C9&amp;"!L6")</f>
        <v>1</v>
      </c>
      <c r="M9" s="195">
        <f ca="1">INDIRECT($C9&amp;"!M6")</f>
        <v>1</v>
      </c>
    </row>
    <row r="10" spans="1:13" x14ac:dyDescent="0.25">
      <c r="A10" s="190" t="s">
        <v>44</v>
      </c>
      <c r="B10" s="191">
        <v>1</v>
      </c>
      <c r="C10" s="192" t="s">
        <v>17</v>
      </c>
      <c r="D10" s="193" t="s">
        <v>18</v>
      </c>
      <c r="E10" s="194">
        <f ca="1">INDIRECT($C10&amp;"!J5")</f>
        <v>1</v>
      </c>
      <c r="F10" s="194">
        <f ca="1">INDIRECT($C10&amp;"!K5")</f>
        <v>0</v>
      </c>
      <c r="G10" s="194">
        <f ca="1">INDIRECT($C10&amp;"!L5")</f>
        <v>0</v>
      </c>
      <c r="H10" s="195">
        <f ca="1">INDIRECT($C10&amp;"!M5")</f>
        <v>0</v>
      </c>
      <c r="I10" s="193" t="s">
        <v>19</v>
      </c>
      <c r="J10" s="194">
        <f ca="1">INDIRECT($C10&amp;"!J6")</f>
        <v>1</v>
      </c>
      <c r="K10" s="194">
        <f ca="1">INDIRECT($C10&amp;"!K6")</f>
        <v>0</v>
      </c>
      <c r="L10" s="194">
        <f ca="1">INDIRECT($C10&amp;"!L6")</f>
        <v>0</v>
      </c>
      <c r="M10" s="195">
        <f ca="1">INDIRECT($C10&amp;"!M6")</f>
        <v>0</v>
      </c>
    </row>
    <row r="11" spans="1:13" x14ac:dyDescent="0.25">
      <c r="A11" s="190" t="s">
        <v>44</v>
      </c>
      <c r="B11" s="191">
        <v>1</v>
      </c>
      <c r="C11" s="192" t="s">
        <v>21</v>
      </c>
      <c r="D11" s="193" t="s">
        <v>18</v>
      </c>
      <c r="E11" s="194">
        <f ca="1">INDIRECT($C11&amp;"!J5")</f>
        <v>1</v>
      </c>
      <c r="F11" s="194">
        <f ca="1">INDIRECT($C11&amp;"!K5")</f>
        <v>-0.01</v>
      </c>
      <c r="G11" s="194">
        <f ca="1">INDIRECT($C11&amp;"!L5")</f>
        <v>1</v>
      </c>
      <c r="H11" s="195">
        <f ca="1">INDIRECT($C11&amp;"!M5")</f>
        <v>1</v>
      </c>
      <c r="I11" s="193" t="s">
        <v>19</v>
      </c>
      <c r="J11" s="194">
        <f ca="1">INDIRECT($C11&amp;"!J6")</f>
        <v>1</v>
      </c>
      <c r="K11" s="194">
        <f ca="1">INDIRECT($C11&amp;"!K6")</f>
        <v>-0.01</v>
      </c>
      <c r="L11" s="194">
        <f ca="1">INDIRECT($C11&amp;"!L6")</f>
        <v>1</v>
      </c>
      <c r="M11" s="195">
        <f ca="1">INDIRECT($C11&amp;"!M6")</f>
        <v>1</v>
      </c>
    </row>
    <row r="12" spans="1:13" x14ac:dyDescent="0.25">
      <c r="A12" s="190" t="s">
        <v>44</v>
      </c>
      <c r="B12" s="191">
        <v>1</v>
      </c>
      <c r="C12" s="192" t="s">
        <v>25</v>
      </c>
      <c r="D12" s="193" t="s">
        <v>18</v>
      </c>
      <c r="E12" s="194">
        <f ca="1">INDIRECT($C12&amp;"!J5")</f>
        <v>1</v>
      </c>
      <c r="F12" s="194">
        <f ca="1">INDIRECT($C12&amp;"!K5")</f>
        <v>-0.01</v>
      </c>
      <c r="G12" s="194">
        <f ca="1">INDIRECT($C12&amp;"!L5")</f>
        <v>1</v>
      </c>
      <c r="H12" s="195">
        <f ca="1">INDIRECT($C12&amp;"!M5")</f>
        <v>1</v>
      </c>
      <c r="I12" s="193" t="s">
        <v>19</v>
      </c>
      <c r="J12" s="194">
        <f ca="1">INDIRECT($C12&amp;"!J6")</f>
        <v>1</v>
      </c>
      <c r="K12" s="194">
        <f ca="1">INDIRECT($C12&amp;"!K6")</f>
        <v>-0.01</v>
      </c>
      <c r="L12" s="194">
        <f ca="1">INDIRECT($C12&amp;"!L6")</f>
        <v>1</v>
      </c>
      <c r="M12" s="195">
        <f ca="1">INDIRECT($C12&amp;"!M6")</f>
        <v>1</v>
      </c>
    </row>
    <row r="13" spans="1:13" x14ac:dyDescent="0.25">
      <c r="A13" s="190" t="s">
        <v>44</v>
      </c>
      <c r="B13" s="191">
        <v>1</v>
      </c>
      <c r="C13" s="192" t="s">
        <v>155</v>
      </c>
      <c r="D13" s="193" t="s">
        <v>18</v>
      </c>
      <c r="E13" s="194">
        <f ca="1">INDIRECT($C13&amp;"!J5")</f>
        <v>1</v>
      </c>
      <c r="F13" s="194">
        <f ca="1">INDIRECT($C13&amp;"!K5")</f>
        <v>-0.01</v>
      </c>
      <c r="G13" s="194">
        <f ca="1">INDIRECT($C13&amp;"!L5")</f>
        <v>1</v>
      </c>
      <c r="H13" s="195">
        <f ca="1">INDIRECT($C13&amp;"!M5")</f>
        <v>1</v>
      </c>
      <c r="I13" s="193" t="s">
        <v>19</v>
      </c>
      <c r="J13" s="194">
        <f ca="1">INDIRECT($C13&amp;"!J6")</f>
        <v>1</v>
      </c>
      <c r="K13" s="194">
        <f ca="1">INDIRECT($C13&amp;"!K6")</f>
        <v>-0.01</v>
      </c>
      <c r="L13" s="194">
        <f ca="1">INDIRECT($C13&amp;"!L6")</f>
        <v>1</v>
      </c>
      <c r="M13" s="195">
        <f ca="1">INDIRECT($C13&amp;"!M6")</f>
        <v>1</v>
      </c>
    </row>
    <row r="14" spans="1:13" x14ac:dyDescent="0.25">
      <c r="A14" s="190" t="s">
        <v>44</v>
      </c>
      <c r="B14" s="191">
        <v>1</v>
      </c>
      <c r="C14" s="192" t="s">
        <v>27</v>
      </c>
      <c r="D14" s="193" t="s">
        <v>18</v>
      </c>
      <c r="E14" s="194">
        <f ca="1">INDIRECT($C14&amp;"!J5")</f>
        <v>1</v>
      </c>
      <c r="F14" s="194">
        <f ca="1">INDIRECT($C14&amp;"!K5")</f>
        <v>-0.01</v>
      </c>
      <c r="G14" s="194">
        <f ca="1">INDIRECT($C14&amp;"!L5")</f>
        <v>1</v>
      </c>
      <c r="H14" s="195">
        <f ca="1">INDIRECT($C14&amp;"!M5")</f>
        <v>1</v>
      </c>
      <c r="I14" s="193" t="s">
        <v>19</v>
      </c>
      <c r="J14" s="194">
        <f ca="1">INDIRECT($C14&amp;"!J6")</f>
        <v>1</v>
      </c>
      <c r="K14" s="194">
        <f ca="1">INDIRECT($C14&amp;"!K6")</f>
        <v>-0.01</v>
      </c>
      <c r="L14" s="194">
        <f ca="1">INDIRECT($C14&amp;"!L6")</f>
        <v>1</v>
      </c>
      <c r="M14" s="195">
        <f ca="1">INDIRECT($C14&amp;"!M6")</f>
        <v>1</v>
      </c>
    </row>
    <row r="15" spans="1:13" x14ac:dyDescent="0.25">
      <c r="A15" s="196" t="s">
        <v>187</v>
      </c>
      <c r="B15" s="197">
        <v>2</v>
      </c>
      <c r="C15" s="198"/>
      <c r="D15" s="199"/>
      <c r="E15" s="200"/>
      <c r="F15" s="200"/>
      <c r="G15" s="200"/>
      <c r="H15" s="201"/>
      <c r="I15" s="199"/>
      <c r="J15" s="200"/>
      <c r="K15" s="200"/>
      <c r="L15" s="200"/>
      <c r="M15" s="201"/>
    </row>
    <row r="16" spans="1:13" x14ac:dyDescent="0.25">
      <c r="A16" s="202" t="s">
        <v>174</v>
      </c>
      <c r="B16" s="203">
        <v>3</v>
      </c>
      <c r="C16" s="204" t="s">
        <v>175</v>
      </c>
      <c r="D16" s="205" t="s">
        <v>18</v>
      </c>
      <c r="E16" s="206">
        <f ca="1">INDIRECT($C16&amp;"!J5")</f>
        <v>1</v>
      </c>
      <c r="F16" s="206">
        <f ca="1">INDIRECT($C16&amp;"!K5")</f>
        <v>-0.01</v>
      </c>
      <c r="G16" s="206">
        <f ca="1">INDIRECT($C16&amp;"!L5")</f>
        <v>1</v>
      </c>
      <c r="H16" s="207">
        <f ca="1">INDIRECT($C16&amp;"!M5")</f>
        <v>1</v>
      </c>
      <c r="I16" s="205" t="s">
        <v>19</v>
      </c>
      <c r="J16" s="206">
        <f ca="1">INDIRECT($C16&amp;"!J6")</f>
        <v>1</v>
      </c>
      <c r="K16" s="206">
        <f ca="1">INDIRECT($C16&amp;"!K6")</f>
        <v>-0.01</v>
      </c>
      <c r="L16" s="206">
        <f ca="1">INDIRECT($C16&amp;"!L6")</f>
        <v>1</v>
      </c>
      <c r="M16" s="207">
        <f ca="1">INDIRECT($C16&amp;"!M6")</f>
        <v>1</v>
      </c>
    </row>
    <row r="17" spans="1:13" x14ac:dyDescent="0.25">
      <c r="A17" s="246" t="s">
        <v>176</v>
      </c>
      <c r="B17" s="247">
        <v>4</v>
      </c>
      <c r="C17" s="248" t="s">
        <v>177</v>
      </c>
      <c r="D17" s="249" t="s">
        <v>18</v>
      </c>
      <c r="E17" s="250">
        <f ca="1">INDIRECT($C17&amp;"!J5")</f>
        <v>1</v>
      </c>
      <c r="F17" s="250">
        <f ca="1">INDIRECT($C17&amp;"!K5")</f>
        <v>-0.01</v>
      </c>
      <c r="G17" s="250">
        <f ca="1">INDIRECT($C17&amp;"!L5")</f>
        <v>1</v>
      </c>
      <c r="H17" s="251">
        <f ca="1">INDIRECT($C17&amp;"!M5")</f>
        <v>1</v>
      </c>
      <c r="I17" s="249" t="s">
        <v>19</v>
      </c>
      <c r="J17" s="250">
        <f ca="1">INDIRECT($C17&amp;"!J6")</f>
        <v>1</v>
      </c>
      <c r="K17" s="250">
        <f ca="1">INDIRECT($C17&amp;"!K6")</f>
        <v>-0.01</v>
      </c>
      <c r="L17" s="250">
        <f ca="1">INDIRECT($C17&amp;"!L6")</f>
        <v>1</v>
      </c>
      <c r="M17" s="251">
        <f ca="1">INDIRECT($C17&amp;"!M6")</f>
        <v>1</v>
      </c>
    </row>
    <row r="18" spans="1:13" x14ac:dyDescent="0.25">
      <c r="A18" s="246" t="s">
        <v>207</v>
      </c>
      <c r="B18" s="247">
        <v>1.4</v>
      </c>
      <c r="C18" s="248" t="s">
        <v>208</v>
      </c>
      <c r="D18" s="249" t="s">
        <v>18</v>
      </c>
      <c r="E18" s="250">
        <f ca="1">INDIRECT($C18&amp;"!J5")</f>
        <v>1</v>
      </c>
      <c r="F18" s="250">
        <f ca="1">INDIRECT($C18&amp;"!K5")</f>
        <v>-0.01</v>
      </c>
      <c r="G18" s="250">
        <f ca="1">INDIRECT($C18&amp;"!L5")</f>
        <v>1</v>
      </c>
      <c r="H18" s="251">
        <f ca="1">INDIRECT($C18&amp;"!M5")</f>
        <v>1</v>
      </c>
      <c r="I18" s="249" t="s">
        <v>19</v>
      </c>
      <c r="J18" s="250">
        <f ca="1">INDIRECT($C18&amp;"!J6")</f>
        <v>1</v>
      </c>
      <c r="K18" s="250">
        <f ca="1">INDIRECT($C18&amp;"!K6")</f>
        <v>-0.01</v>
      </c>
      <c r="L18" s="250">
        <f ca="1">INDIRECT($C18&amp;"!L6")</f>
        <v>1</v>
      </c>
      <c r="M18" s="251">
        <f ca="1">INDIRECT($C18&amp;"!M6")</f>
        <v>1</v>
      </c>
    </row>
    <row r="19" spans="1:13" x14ac:dyDescent="0.25">
      <c r="A19" s="190" t="s">
        <v>285</v>
      </c>
      <c r="B19" s="191"/>
      <c r="C19" s="192" t="s">
        <v>120</v>
      </c>
      <c r="D19" s="193"/>
      <c r="E19" s="194"/>
      <c r="F19" s="194"/>
      <c r="G19" s="194"/>
      <c r="H19" s="195"/>
      <c r="I19" s="193"/>
      <c r="J19" s="194"/>
      <c r="K19" s="194"/>
      <c r="L19" s="194"/>
      <c r="M19" s="195"/>
    </row>
    <row r="20" spans="1:13" x14ac:dyDescent="0.25">
      <c r="A20" s="124"/>
      <c r="B20" s="167"/>
    </row>
    <row r="33" spans="3:3" x14ac:dyDescent="0.25">
      <c r="C33" s="125"/>
    </row>
    <row r="34" spans="3:3" x14ac:dyDescent="0.25">
      <c r="C34" s="125"/>
    </row>
    <row r="35" spans="3:3" x14ac:dyDescent="0.25">
      <c r="C35" s="125"/>
    </row>
    <row r="36" spans="3:3" x14ac:dyDescent="0.25">
      <c r="C36" s="125"/>
    </row>
    <row r="37" spans="3:3" x14ac:dyDescent="0.25">
      <c r="C37" s="125"/>
    </row>
  </sheetData>
  <hyperlinks>
    <hyperlink ref="C9" location="Flat!A1" display="Flat" xr:uid="{D23CD9E6-81AA-4BFB-8203-C27606835402}"/>
    <hyperlink ref="C10" location="LBI!A1" display="LBI" xr:uid="{3630DE0F-FD20-4968-A109-7BA56FA137E6}"/>
    <hyperlink ref="C11" location="Baseline!A1" display="Baseline" xr:uid="{88C80777-E628-4658-B789-3CC7746733F5}"/>
    <hyperlink ref="C12" location="BackToFirst!A1" display="BackToFirst" xr:uid="{7456FBD6-1BCD-46EA-8FB2-4D445F9BD979}"/>
    <hyperlink ref="C14" location="BalancedUnbalanced!A1" display="BalancedUnbalanced" xr:uid="{66B0A72A-BB2C-4FE9-A274-C9A972CD7489}"/>
    <hyperlink ref="C13" location="BaselineBackToFirst!A1" display="BaselineBackToFirst" xr:uid="{FBD8EDCE-1988-47DA-8556-84BA0CB7E51D}"/>
    <hyperlink ref="C16" location="SoP!A1" display="SoP" xr:uid="{F890583A-2E90-44BC-8EE2-E925F3276CE2}"/>
    <hyperlink ref="C17" location="revenueCommitment!A1" display="revenueCommitment" xr:uid="{EE83A9BE-6446-4694-A449-A8874970E53F}"/>
    <hyperlink ref="C18" location="revenueCommitment_UsageCaps!A1" display="revenueCommitment" xr:uid="{30208BE2-D800-4CB9-B9FB-26635DEADE0D}"/>
    <hyperlink ref="C19" location="TAX!A1" display="TAX" xr:uid="{C223D31B-BF70-4E0A-800E-915633238B56}"/>
  </hyperlink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iconSet" priority="30" id="{7FD9BAC4-29A2-4720-A125-C94940600C8B}">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E9:H9</xm:sqref>
        </x14:conditionalFormatting>
        <x14:conditionalFormatting xmlns:xm="http://schemas.microsoft.com/office/excel/2006/main">
          <x14:cfRule type="iconSet" priority="24" id="{FE362D7E-3117-4A67-AD13-73805602233F}">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E10:H12 E14:H14</xm:sqref>
        </x14:conditionalFormatting>
        <x14:conditionalFormatting xmlns:xm="http://schemas.microsoft.com/office/excel/2006/main">
          <x14:cfRule type="iconSet" priority="20" id="{AFDAB10C-C60D-4A56-AA57-368C729A49EF}">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E13:H13</xm:sqref>
        </x14:conditionalFormatting>
        <x14:conditionalFormatting xmlns:xm="http://schemas.microsoft.com/office/excel/2006/main">
          <x14:cfRule type="iconSet" priority="15" id="{352CCCBA-CFAC-4D03-BDCA-186039BD6818}">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J13:M13</xm:sqref>
        </x14:conditionalFormatting>
        <x14:conditionalFormatting xmlns:xm="http://schemas.microsoft.com/office/excel/2006/main">
          <x14:cfRule type="iconSet" priority="18" id="{F5C68759-4540-4B01-BF08-996D1796F175}">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J9:M9</xm:sqref>
        </x14:conditionalFormatting>
        <x14:conditionalFormatting xmlns:xm="http://schemas.microsoft.com/office/excel/2006/main">
          <x14:cfRule type="iconSet" priority="17" id="{C16DCD84-801E-4878-8A49-59BFB6EFA33B}">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J10:M12 J14:M14</xm:sqref>
        </x14:conditionalFormatting>
        <x14:conditionalFormatting xmlns:xm="http://schemas.microsoft.com/office/excel/2006/main">
          <x14:cfRule type="iconSet" priority="10" id="{FC61A629-48E1-4E2E-B91B-99ADBF0F7C5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E17:H17</xm:sqref>
        </x14:conditionalFormatting>
        <x14:conditionalFormatting xmlns:xm="http://schemas.microsoft.com/office/excel/2006/main">
          <x14:cfRule type="iconSet" priority="9" id="{2D2D5B9D-44DB-48F3-8B7A-A9392E6FA8B0}">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J17:M17</xm:sqref>
        </x14:conditionalFormatting>
        <x14:conditionalFormatting xmlns:xm="http://schemas.microsoft.com/office/excel/2006/main">
          <x14:cfRule type="iconSet" priority="8" id="{FF205666-A726-41EF-AE04-0C105D86E3DF}">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E15:H15</xm:sqref>
        </x14:conditionalFormatting>
        <x14:conditionalFormatting xmlns:xm="http://schemas.microsoft.com/office/excel/2006/main">
          <x14:cfRule type="iconSet" priority="7" id="{1E5DA6C3-9317-4136-95DB-34DDF7F6745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J15:M15</xm:sqref>
        </x14:conditionalFormatting>
        <x14:conditionalFormatting xmlns:xm="http://schemas.microsoft.com/office/excel/2006/main">
          <x14:cfRule type="iconSet" priority="6" id="{25304AD2-0C6A-4CDF-A63D-051F4D823DF6}">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E16:H16</xm:sqref>
        </x14:conditionalFormatting>
        <x14:conditionalFormatting xmlns:xm="http://schemas.microsoft.com/office/excel/2006/main">
          <x14:cfRule type="iconSet" priority="5" id="{F391C171-132E-464C-82AD-C1E5ECF71552}">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J16:M16</xm:sqref>
        </x14:conditionalFormatting>
        <x14:conditionalFormatting xmlns:xm="http://schemas.microsoft.com/office/excel/2006/main">
          <x14:cfRule type="iconSet" priority="4" id="{74F8F0FC-CABF-4020-BE6D-D0BBBECE7182}">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E18:H18</xm:sqref>
        </x14:conditionalFormatting>
        <x14:conditionalFormatting xmlns:xm="http://schemas.microsoft.com/office/excel/2006/main">
          <x14:cfRule type="iconSet" priority="3" id="{AF62873E-7EEB-4410-A345-222E7703444A}">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J18:M18</xm:sqref>
        </x14:conditionalFormatting>
        <x14:conditionalFormatting xmlns:xm="http://schemas.microsoft.com/office/excel/2006/main">
          <x14:cfRule type="iconSet" priority="2" id="{747073AD-3EC7-40D3-9FF8-B3035A4F62BB}">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E19:H19</xm:sqref>
        </x14:conditionalFormatting>
        <x14:conditionalFormatting xmlns:xm="http://schemas.microsoft.com/office/excel/2006/main">
          <x14:cfRule type="iconSet" priority="1" id="{9F8D1B89-6F88-43E8-BDE7-30DB62168626}">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J19:M19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B3B08-B1F7-4ACA-948B-7241BCC76939}">
  <sheetPr>
    <tabColor rgb="FF002060"/>
  </sheetPr>
  <dimension ref="C27:C29"/>
  <sheetViews>
    <sheetView workbookViewId="0">
      <selection activeCell="C26" sqref="C26"/>
    </sheetView>
  </sheetViews>
  <sheetFormatPr baseColWidth="10" defaultRowHeight="15" x14ac:dyDescent="0.25"/>
  <cols>
    <col min="1" max="16384" width="11.42578125" style="154"/>
  </cols>
  <sheetData>
    <row r="27" spans="3:3" x14ac:dyDescent="0.25">
      <c r="C27" s="155" t="s">
        <v>140</v>
      </c>
    </row>
    <row r="28" spans="3:3" x14ac:dyDescent="0.25">
      <c r="C28" s="156" t="s">
        <v>206</v>
      </c>
    </row>
    <row r="29" spans="3:3" x14ac:dyDescent="0.25">
      <c r="C29" s="156"/>
    </row>
  </sheetData>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784A-C479-4385-8064-AE1855EFA9F5}">
  <sheetPr>
    <tabColor rgb="FF002060"/>
  </sheetPr>
  <dimension ref="C27:C29"/>
  <sheetViews>
    <sheetView tabSelected="1" zoomScale="115" zoomScaleNormal="115" workbookViewId="0">
      <selection activeCell="D38" sqref="D38"/>
    </sheetView>
  </sheetViews>
  <sheetFormatPr baseColWidth="10" defaultRowHeight="15" x14ac:dyDescent="0.25"/>
  <cols>
    <col min="1" max="16384" width="11.42578125" style="154"/>
  </cols>
  <sheetData>
    <row r="27" spans="3:3" x14ac:dyDescent="0.25">
      <c r="C27" s="155"/>
    </row>
    <row r="28" spans="3:3" x14ac:dyDescent="0.25">
      <c r="C28" s="156"/>
    </row>
    <row r="29" spans="3:3" x14ac:dyDescent="0.25">
      <c r="C29" s="156"/>
    </row>
  </sheetData>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EB628-BCC5-434A-90AF-2A0A2EA29AD5}">
  <sheetPr>
    <tabColor theme="5" tint="0.79998168889431442"/>
  </sheetPr>
  <dimension ref="A1:P42"/>
  <sheetViews>
    <sheetView zoomScale="90" zoomScaleNormal="90" workbookViewId="0">
      <selection activeCell="G14" sqref="G14"/>
    </sheetView>
  </sheetViews>
  <sheetFormatPr baseColWidth="10" defaultRowHeight="15" x14ac:dyDescent="0.25"/>
  <cols>
    <col min="1" max="1" width="15" style="1" bestFit="1" customWidth="1"/>
    <col min="2" max="2" width="11.42578125" style="1"/>
    <col min="3" max="4" width="11.42578125" style="127"/>
    <col min="5" max="5" width="22.85546875" style="127" bestFit="1" customWidth="1"/>
    <col min="6" max="6" width="22.7109375" style="127" customWidth="1"/>
    <col min="7" max="7" width="18.42578125" style="127" bestFit="1" customWidth="1"/>
    <col min="8" max="8" width="20.28515625" style="127" bestFit="1" customWidth="1"/>
    <col min="9" max="9" width="15.7109375" style="127" customWidth="1"/>
    <col min="10" max="10" width="13.85546875" style="127" bestFit="1" customWidth="1"/>
    <col min="11" max="11" width="11.42578125" style="1"/>
    <col min="12" max="12" width="41.28515625" style="1" bestFit="1" customWidth="1"/>
    <col min="13" max="13" width="40" style="1" bestFit="1" customWidth="1"/>
    <col min="14" max="15" width="15.7109375" style="1" customWidth="1"/>
    <col min="16" max="16384" width="11.42578125" style="1"/>
  </cols>
  <sheetData>
    <row r="1" spans="1:16" s="138" customFormat="1" x14ac:dyDescent="0.25">
      <c r="A1" s="138" t="s">
        <v>130</v>
      </c>
      <c r="H1" s="139"/>
      <c r="I1" s="139"/>
      <c r="J1" s="139"/>
    </row>
    <row r="2" spans="1:16" ht="15.75" x14ac:dyDescent="0.25">
      <c r="C2" s="140" t="s">
        <v>67</v>
      </c>
      <c r="D2" s="140"/>
      <c r="E2" s="140"/>
      <c r="F2" s="140"/>
      <c r="G2" s="140"/>
      <c r="H2" s="140"/>
      <c r="I2" s="140"/>
      <c r="J2" s="140"/>
      <c r="K2" s="140"/>
      <c r="L2" s="135" t="s">
        <v>73</v>
      </c>
      <c r="M2" s="132" t="s">
        <v>74</v>
      </c>
      <c r="N2" s="141" t="s">
        <v>9</v>
      </c>
      <c r="O2" s="141"/>
    </row>
    <row r="3" spans="1:16" ht="15.75" x14ac:dyDescent="0.25">
      <c r="C3" s="130" t="s">
        <v>26</v>
      </c>
      <c r="D3" s="130" t="s">
        <v>38</v>
      </c>
      <c r="E3" s="130" t="s">
        <v>82</v>
      </c>
      <c r="F3" s="130" t="s">
        <v>83</v>
      </c>
      <c r="G3" s="130" t="s">
        <v>84</v>
      </c>
      <c r="H3" s="130" t="s">
        <v>41</v>
      </c>
      <c r="I3" s="131" t="s">
        <v>42</v>
      </c>
      <c r="J3" s="131"/>
      <c r="K3" s="131"/>
      <c r="L3" s="136" t="s">
        <v>7</v>
      </c>
      <c r="M3" s="131" t="s">
        <v>8</v>
      </c>
      <c r="N3" s="136" t="s">
        <v>75</v>
      </c>
      <c r="O3" s="136" t="s">
        <v>76</v>
      </c>
    </row>
    <row r="4" spans="1:16" x14ac:dyDescent="0.25">
      <c r="C4" s="1" t="s">
        <v>135</v>
      </c>
      <c r="D4" s="1" t="s">
        <v>135</v>
      </c>
      <c r="E4" s="1" t="s">
        <v>135</v>
      </c>
      <c r="F4" s="1" t="s">
        <v>135</v>
      </c>
      <c r="G4" s="1" t="s">
        <v>135</v>
      </c>
      <c r="H4" s="1" t="s">
        <v>135</v>
      </c>
      <c r="I4" s="1" t="s">
        <v>135</v>
      </c>
      <c r="J4" s="1" t="s">
        <v>135</v>
      </c>
      <c r="K4" s="1" t="s">
        <v>135</v>
      </c>
      <c r="L4" s="1" t="s">
        <v>135</v>
      </c>
      <c r="M4" s="1" t="s">
        <v>139</v>
      </c>
      <c r="N4" s="1" t="s">
        <v>131</v>
      </c>
      <c r="O4" s="1" t="s">
        <v>131</v>
      </c>
    </row>
    <row r="5" spans="1:16" x14ac:dyDescent="0.25">
      <c r="C5" s="1" t="s">
        <v>137</v>
      </c>
      <c r="D5" s="1" t="s">
        <v>137</v>
      </c>
      <c r="E5" s="1" t="s">
        <v>137</v>
      </c>
      <c r="F5" s="1" t="s">
        <v>137</v>
      </c>
      <c r="G5" s="1" t="s">
        <v>137</v>
      </c>
      <c r="H5" s="1" t="s">
        <v>137</v>
      </c>
      <c r="I5" s="1" t="s">
        <v>137</v>
      </c>
      <c r="J5" s="1" t="s">
        <v>137</v>
      </c>
      <c r="K5" s="1" t="s">
        <v>137</v>
      </c>
      <c r="L5" s="1" t="s">
        <v>137</v>
      </c>
      <c r="N5" s="1" t="s">
        <v>132</v>
      </c>
      <c r="O5" s="1" t="s">
        <v>132</v>
      </c>
    </row>
    <row r="6" spans="1:16" x14ac:dyDescent="0.25">
      <c r="C6" s="1" t="s">
        <v>136</v>
      </c>
      <c r="D6" s="1" t="s">
        <v>136</v>
      </c>
      <c r="E6" s="1" t="s">
        <v>136</v>
      </c>
      <c r="F6" s="1" t="s">
        <v>136</v>
      </c>
      <c r="G6" s="1" t="s">
        <v>136</v>
      </c>
      <c r="H6" s="1" t="s">
        <v>136</v>
      </c>
      <c r="I6" s="1" t="s">
        <v>136</v>
      </c>
      <c r="J6" s="1" t="s">
        <v>136</v>
      </c>
      <c r="K6" s="1" t="s">
        <v>136</v>
      </c>
      <c r="L6" s="1" t="s">
        <v>136</v>
      </c>
      <c r="N6" s="1" t="s">
        <v>133</v>
      </c>
      <c r="O6" s="1" t="s">
        <v>133</v>
      </c>
    </row>
    <row r="7" spans="1:16" x14ac:dyDescent="0.25">
      <c r="C7" s="1" t="s">
        <v>138</v>
      </c>
      <c r="D7" s="1" t="s">
        <v>138</v>
      </c>
      <c r="E7" s="1" t="s">
        <v>138</v>
      </c>
      <c r="F7" s="1" t="s">
        <v>138</v>
      </c>
      <c r="G7" s="1" t="s">
        <v>138</v>
      </c>
      <c r="H7" s="1" t="s">
        <v>138</v>
      </c>
      <c r="I7" s="1" t="s">
        <v>138</v>
      </c>
      <c r="J7" s="1" t="s">
        <v>138</v>
      </c>
      <c r="K7" s="1" t="s">
        <v>138</v>
      </c>
      <c r="L7" s="1" t="s">
        <v>138</v>
      </c>
      <c r="N7" s="1" t="s">
        <v>134</v>
      </c>
      <c r="O7" s="1" t="s">
        <v>134</v>
      </c>
    </row>
    <row r="10" spans="1:16" s="138" customFormat="1" x14ac:dyDescent="0.25">
      <c r="A10" s="138" t="s">
        <v>129</v>
      </c>
      <c r="H10" s="139"/>
      <c r="I10" s="139"/>
      <c r="J10" s="139"/>
    </row>
    <row r="11" spans="1:16" x14ac:dyDescent="0.25">
      <c r="C11" s="1"/>
      <c r="D11" s="1"/>
      <c r="E11" s="1"/>
      <c r="F11" s="1"/>
      <c r="G11" s="1"/>
      <c r="H11" s="126"/>
      <c r="I11" s="126"/>
      <c r="J11" s="126"/>
      <c r="P11" s="134" t="s">
        <v>78</v>
      </c>
    </row>
    <row r="12" spans="1:16" ht="15.75" x14ac:dyDescent="0.25">
      <c r="A12" s="135" t="s">
        <v>126</v>
      </c>
      <c r="B12" s="135" t="s">
        <v>120</v>
      </c>
      <c r="C12" s="140" t="s">
        <v>67</v>
      </c>
      <c r="D12" s="140"/>
      <c r="E12" s="140"/>
      <c r="F12" s="140"/>
      <c r="G12" s="140"/>
      <c r="H12" s="140"/>
      <c r="I12" s="140"/>
      <c r="J12" s="140"/>
      <c r="K12" s="140"/>
      <c r="L12" s="135" t="s">
        <v>73</v>
      </c>
      <c r="M12" s="132" t="s">
        <v>74</v>
      </c>
      <c r="N12" s="141" t="s">
        <v>9</v>
      </c>
      <c r="O12" s="141"/>
      <c r="P12" s="133" t="s">
        <v>77</v>
      </c>
    </row>
    <row r="13" spans="1:16" ht="15.75" x14ac:dyDescent="0.25">
      <c r="A13" s="136"/>
      <c r="B13" s="136"/>
      <c r="C13" s="130" t="s">
        <v>26</v>
      </c>
      <c r="D13" s="130" t="s">
        <v>38</v>
      </c>
      <c r="E13" s="130" t="s">
        <v>82</v>
      </c>
      <c r="F13" s="130" t="s">
        <v>83</v>
      </c>
      <c r="G13" s="130" t="s">
        <v>84</v>
      </c>
      <c r="H13" s="130" t="s">
        <v>41</v>
      </c>
      <c r="I13" s="131" t="s">
        <v>42</v>
      </c>
      <c r="J13" s="131"/>
      <c r="K13" s="131"/>
      <c r="L13" s="136" t="s">
        <v>7</v>
      </c>
      <c r="M13" s="131" t="s">
        <v>8</v>
      </c>
      <c r="N13" s="136" t="s">
        <v>75</v>
      </c>
      <c r="O13" s="136" t="s">
        <v>76</v>
      </c>
    </row>
    <row r="14" spans="1:16" ht="210" x14ac:dyDescent="0.25">
      <c r="A14" s="51" t="s">
        <v>127</v>
      </c>
      <c r="B14" s="51" t="s">
        <v>121</v>
      </c>
      <c r="C14" s="129" t="s">
        <v>71</v>
      </c>
      <c r="D14" s="129" t="s">
        <v>70</v>
      </c>
      <c r="E14" s="128" t="s">
        <v>85</v>
      </c>
      <c r="F14" s="128" t="s">
        <v>114</v>
      </c>
      <c r="G14" s="129" t="s">
        <v>72</v>
      </c>
      <c r="H14" s="129"/>
      <c r="I14" s="129" t="s">
        <v>68</v>
      </c>
      <c r="J14" s="129" t="s">
        <v>69</v>
      </c>
      <c r="K14" s="129" t="s">
        <v>42</v>
      </c>
      <c r="O14" s="51" t="s">
        <v>79</v>
      </c>
    </row>
    <row r="15" spans="1:16" ht="30" x14ac:dyDescent="0.25">
      <c r="A15" s="51" t="s">
        <v>128</v>
      </c>
      <c r="B15" s="51" t="s">
        <v>122</v>
      </c>
      <c r="E15" s="128" t="s">
        <v>86</v>
      </c>
      <c r="F15" s="128" t="s">
        <v>115</v>
      </c>
      <c r="O15" s="51" t="s">
        <v>81</v>
      </c>
    </row>
    <row r="16" spans="1:16" x14ac:dyDescent="0.25">
      <c r="A16" s="51"/>
      <c r="B16" s="51"/>
      <c r="E16" s="128" t="s">
        <v>87</v>
      </c>
      <c r="F16" s="128" t="s">
        <v>116</v>
      </c>
      <c r="O16" s="51" t="s">
        <v>80</v>
      </c>
    </row>
    <row r="17" spans="5:5" x14ac:dyDescent="0.25">
      <c r="E17" s="128" t="s">
        <v>88</v>
      </c>
    </row>
    <row r="18" spans="5:5" x14ac:dyDescent="0.25">
      <c r="E18" s="128" t="s">
        <v>89</v>
      </c>
    </row>
    <row r="19" spans="5:5" x14ac:dyDescent="0.25">
      <c r="E19" s="128" t="s">
        <v>90</v>
      </c>
    </row>
    <row r="20" spans="5:5" x14ac:dyDescent="0.25">
      <c r="E20" s="128" t="s">
        <v>91</v>
      </c>
    </row>
    <row r="21" spans="5:5" x14ac:dyDescent="0.25">
      <c r="E21" s="128" t="s">
        <v>92</v>
      </c>
    </row>
    <row r="22" spans="5:5" x14ac:dyDescent="0.25">
      <c r="E22" s="128" t="s">
        <v>93</v>
      </c>
    </row>
    <row r="23" spans="5:5" x14ac:dyDescent="0.25">
      <c r="E23" s="128" t="s">
        <v>94</v>
      </c>
    </row>
    <row r="24" spans="5:5" x14ac:dyDescent="0.25">
      <c r="E24" s="128" t="s">
        <v>95</v>
      </c>
    </row>
    <row r="25" spans="5:5" x14ac:dyDescent="0.25">
      <c r="E25" s="128" t="s">
        <v>96</v>
      </c>
    </row>
    <row r="26" spans="5:5" x14ac:dyDescent="0.25">
      <c r="E26" s="128" t="s">
        <v>97</v>
      </c>
    </row>
    <row r="27" spans="5:5" x14ac:dyDescent="0.25">
      <c r="E27" s="128" t="s">
        <v>98</v>
      </c>
    </row>
    <row r="28" spans="5:5" x14ac:dyDescent="0.25">
      <c r="E28" s="128" t="s">
        <v>99</v>
      </c>
    </row>
    <row r="29" spans="5:5" x14ac:dyDescent="0.25">
      <c r="E29" s="128" t="s">
        <v>100</v>
      </c>
    </row>
    <row r="30" spans="5:5" x14ac:dyDescent="0.25">
      <c r="E30" s="128" t="s">
        <v>101</v>
      </c>
    </row>
    <row r="31" spans="5:5" x14ac:dyDescent="0.25">
      <c r="E31" s="128" t="s">
        <v>102</v>
      </c>
    </row>
    <row r="32" spans="5:5" x14ac:dyDescent="0.25">
      <c r="E32" s="128" t="s">
        <v>103</v>
      </c>
    </row>
    <row r="33" spans="5:5" x14ac:dyDescent="0.25">
      <c r="E33" s="128" t="s">
        <v>104</v>
      </c>
    </row>
    <row r="34" spans="5:5" x14ac:dyDescent="0.25">
      <c r="E34" s="128" t="s">
        <v>105</v>
      </c>
    </row>
    <row r="35" spans="5:5" x14ac:dyDescent="0.25">
      <c r="E35" s="128" t="s">
        <v>106</v>
      </c>
    </row>
    <row r="36" spans="5:5" x14ac:dyDescent="0.25">
      <c r="E36" s="128" t="s">
        <v>107</v>
      </c>
    </row>
    <row r="37" spans="5:5" x14ac:dyDescent="0.25">
      <c r="E37" s="128" t="s">
        <v>108</v>
      </c>
    </row>
    <row r="38" spans="5:5" x14ac:dyDescent="0.25">
      <c r="E38" s="128" t="s">
        <v>109</v>
      </c>
    </row>
    <row r="39" spans="5:5" x14ac:dyDescent="0.25">
      <c r="E39" s="128" t="s">
        <v>110</v>
      </c>
    </row>
    <row r="40" spans="5:5" x14ac:dyDescent="0.25">
      <c r="E40" s="128" t="s">
        <v>111</v>
      </c>
    </row>
    <row r="41" spans="5:5" x14ac:dyDescent="0.25">
      <c r="E41" s="128" t="s">
        <v>112</v>
      </c>
    </row>
    <row r="42" spans="5:5" x14ac:dyDescent="0.25">
      <c r="E42" s="128" t="s">
        <v>113</v>
      </c>
    </row>
  </sheetData>
  <mergeCells count="4">
    <mergeCell ref="C12:K12"/>
    <mergeCell ref="N12:O12"/>
    <mergeCell ref="C2:K2"/>
    <mergeCell ref="N2:O2"/>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64642-54E2-40C9-B612-DCF3FACD090C}">
  <sheetPr>
    <tabColor theme="7" tint="0.79998168889431442"/>
  </sheetPr>
  <dimension ref="A1:M48"/>
  <sheetViews>
    <sheetView workbookViewId="0">
      <selection activeCell="C13" sqref="C13:H13"/>
    </sheetView>
  </sheetViews>
  <sheetFormatPr baseColWidth="10" defaultRowHeight="15" x14ac:dyDescent="0.25"/>
  <cols>
    <col min="1" max="1" width="11.42578125" style="1"/>
    <col min="2" max="2" width="23.85546875" style="1" bestFit="1" customWidth="1"/>
    <col min="3" max="4" width="11.42578125" style="1"/>
    <col min="5" max="5" width="13" style="1" bestFit="1" customWidth="1"/>
    <col min="6" max="6" width="17.140625" style="1" bestFit="1" customWidth="1"/>
    <col min="7" max="7" width="14" style="1" bestFit="1" customWidth="1"/>
    <col min="8" max="16384" width="11.42578125" style="1"/>
  </cols>
  <sheetData>
    <row r="1" spans="1:13" s="2" customFormat="1" x14ac:dyDescent="0.25">
      <c r="A1" s="3" t="s">
        <v>23</v>
      </c>
      <c r="B1" s="3"/>
      <c r="C1" s="3" t="s">
        <v>50</v>
      </c>
      <c r="D1" s="3"/>
    </row>
    <row r="3" spans="1:13" x14ac:dyDescent="0.25">
      <c r="C3" s="11" t="s">
        <v>4</v>
      </c>
      <c r="J3" s="10" t="s">
        <v>5</v>
      </c>
      <c r="K3" s="10"/>
      <c r="L3" s="10"/>
      <c r="M3" s="10"/>
    </row>
    <row r="4" spans="1:13" x14ac:dyDescent="0.25">
      <c r="B4" s="1" t="s">
        <v>45</v>
      </c>
      <c r="C4" s="92"/>
      <c r="J4" s="12" t="s">
        <v>6</v>
      </c>
      <c r="K4" s="13" t="s">
        <v>7</v>
      </c>
      <c r="L4" s="13" t="s">
        <v>8</v>
      </c>
      <c r="M4" s="14" t="s">
        <v>9</v>
      </c>
    </row>
    <row r="5" spans="1:13" x14ac:dyDescent="0.25">
      <c r="I5" s="1" t="s">
        <v>15</v>
      </c>
      <c r="J5" s="40">
        <v>1</v>
      </c>
      <c r="K5" s="41">
        <v>-0.01</v>
      </c>
      <c r="L5" s="41">
        <v>1</v>
      </c>
      <c r="M5" s="42">
        <v>1</v>
      </c>
    </row>
    <row r="6" spans="1:13" x14ac:dyDescent="0.25">
      <c r="I6" s="1" t="s">
        <v>16</v>
      </c>
      <c r="J6" s="15">
        <v>1</v>
      </c>
      <c r="K6" s="16">
        <v>-0.01</v>
      </c>
      <c r="L6" s="16">
        <v>1</v>
      </c>
      <c r="M6" s="17">
        <v>1</v>
      </c>
    </row>
    <row r="10" spans="1:13" x14ac:dyDescent="0.25">
      <c r="B10" s="108" t="s">
        <v>51</v>
      </c>
      <c r="C10" s="144" t="s">
        <v>55</v>
      </c>
      <c r="D10" s="144"/>
      <c r="E10" s="144"/>
      <c r="F10" s="144"/>
      <c r="G10" s="144"/>
      <c r="H10" s="145"/>
    </row>
    <row r="11" spans="1:13" x14ac:dyDescent="0.25">
      <c r="B11" s="109" t="s">
        <v>52</v>
      </c>
      <c r="C11" s="146" t="s">
        <v>210</v>
      </c>
      <c r="D11" s="146"/>
      <c r="E11" s="146"/>
      <c r="F11" s="146"/>
      <c r="G11" s="146"/>
      <c r="H11" s="147"/>
    </row>
    <row r="12" spans="1:13" x14ac:dyDescent="0.25">
      <c r="B12" s="109" t="s">
        <v>53</v>
      </c>
      <c r="C12" s="146" t="s">
        <v>244</v>
      </c>
      <c r="D12" s="146"/>
      <c r="E12" s="146"/>
      <c r="F12" s="146"/>
      <c r="G12" s="146"/>
      <c r="H12" s="147"/>
    </row>
    <row r="13" spans="1:13" ht="62.25" customHeight="1" x14ac:dyDescent="0.25">
      <c r="B13" s="109" t="s">
        <v>143</v>
      </c>
      <c r="C13" s="307" t="s">
        <v>225</v>
      </c>
      <c r="D13" s="158"/>
      <c r="E13" s="158"/>
      <c r="F13" s="158"/>
      <c r="G13" s="158"/>
      <c r="H13" s="159"/>
    </row>
    <row r="14" spans="1:13" ht="30" customHeight="1" x14ac:dyDescent="0.25">
      <c r="B14" s="109" t="s">
        <v>145</v>
      </c>
      <c r="C14" s="146" t="s">
        <v>232</v>
      </c>
      <c r="D14" s="146"/>
      <c r="E14" s="146"/>
      <c r="F14" s="146"/>
      <c r="G14" s="146"/>
      <c r="H14" s="147"/>
      <c r="I14" s="106"/>
    </row>
    <row r="15" spans="1:13" ht="45" customHeight="1" x14ac:dyDescent="0.25">
      <c r="B15" s="110" t="s">
        <v>54</v>
      </c>
      <c r="C15" s="148" t="s">
        <v>157</v>
      </c>
      <c r="D15" s="148"/>
      <c r="E15" s="148"/>
      <c r="F15" s="148"/>
      <c r="G15" s="148"/>
      <c r="H15" s="149"/>
    </row>
    <row r="16" spans="1:13" x14ac:dyDescent="0.25">
      <c r="C16" s="18"/>
      <c r="D16" s="18"/>
      <c r="E16" s="18"/>
      <c r="F16" s="18"/>
      <c r="G16" s="18"/>
      <c r="H16" s="18"/>
      <c r="I16" s="18"/>
    </row>
    <row r="17" spans="2:8" ht="15" customHeight="1" x14ac:dyDescent="0.25">
      <c r="B17" s="312" t="s">
        <v>211</v>
      </c>
      <c r="C17" s="313"/>
      <c r="D17" s="313"/>
      <c r="E17" s="313"/>
      <c r="F17" s="313"/>
      <c r="G17" s="313"/>
      <c r="H17" s="314"/>
    </row>
    <row r="18" spans="2:8" x14ac:dyDescent="0.25">
      <c r="B18" s="310"/>
      <c r="C18" s="311"/>
      <c r="D18" s="311"/>
      <c r="E18" s="311"/>
      <c r="F18" s="311"/>
      <c r="G18" s="311"/>
      <c r="H18" s="315"/>
    </row>
    <row r="19" spans="2:8" x14ac:dyDescent="0.25">
      <c r="B19" s="310"/>
      <c r="C19" s="311"/>
      <c r="D19" s="311"/>
      <c r="E19" s="311"/>
      <c r="F19" s="311"/>
      <c r="G19" s="311"/>
      <c r="H19" s="315"/>
    </row>
    <row r="20" spans="2:8" x14ac:dyDescent="0.25">
      <c r="B20" s="310"/>
      <c r="C20" s="311"/>
      <c r="D20" s="311"/>
      <c r="E20" s="311"/>
      <c r="F20" s="311"/>
      <c r="G20" s="311"/>
      <c r="H20" s="315"/>
    </row>
    <row r="21" spans="2:8" x14ac:dyDescent="0.25">
      <c r="B21" s="310"/>
      <c r="C21" s="311"/>
      <c r="D21" s="311"/>
      <c r="E21" s="311"/>
      <c r="F21" s="311"/>
      <c r="G21" s="311"/>
      <c r="H21" s="315"/>
    </row>
    <row r="22" spans="2:8" x14ac:dyDescent="0.25">
      <c r="B22" s="316"/>
      <c r="C22" s="317"/>
      <c r="D22" s="317"/>
      <c r="E22" s="317"/>
      <c r="F22" s="317"/>
      <c r="G22" s="317"/>
      <c r="H22" s="318"/>
    </row>
    <row r="24" spans="2:8" x14ac:dyDescent="0.25">
      <c r="B24" s="59" t="s">
        <v>34</v>
      </c>
    </row>
    <row r="25" spans="2:8" x14ac:dyDescent="0.25">
      <c r="B25" s="60"/>
      <c r="C25" s="143" t="s">
        <v>10</v>
      </c>
      <c r="D25" s="143"/>
      <c r="E25" s="61"/>
      <c r="F25" s="61"/>
      <c r="G25" s="61"/>
      <c r="H25" s="62"/>
    </row>
    <row r="26" spans="2:8" x14ac:dyDescent="0.25">
      <c r="B26" s="94" t="s">
        <v>9</v>
      </c>
      <c r="C26" s="70" t="s">
        <v>4</v>
      </c>
      <c r="D26" s="64"/>
      <c r="E26" s="64"/>
      <c r="F26" s="64"/>
      <c r="G26" s="64"/>
      <c r="H26" s="65"/>
    </row>
    <row r="27" spans="2:8" x14ac:dyDescent="0.25">
      <c r="B27" s="63" t="s">
        <v>45</v>
      </c>
      <c r="C27" s="93">
        <v>0.1</v>
      </c>
      <c r="D27" s="142" t="s">
        <v>212</v>
      </c>
      <c r="E27" s="142"/>
      <c r="F27" s="142"/>
      <c r="G27" s="142"/>
      <c r="H27" s="308"/>
    </row>
    <row r="28" spans="2:8" x14ac:dyDescent="0.25">
      <c r="B28" s="63"/>
      <c r="C28" s="64"/>
      <c r="D28" s="142"/>
      <c r="E28" s="142"/>
      <c r="F28" s="142"/>
      <c r="G28" s="142"/>
      <c r="H28" s="308"/>
    </row>
    <row r="29" spans="2:8" x14ac:dyDescent="0.25">
      <c r="B29" s="63"/>
      <c r="C29" s="64"/>
      <c r="D29" s="64"/>
      <c r="E29" s="64"/>
      <c r="F29" s="64"/>
      <c r="G29" s="64"/>
      <c r="H29" s="65"/>
    </row>
    <row r="30" spans="2:8" ht="30" x14ac:dyDescent="0.25">
      <c r="B30" s="63"/>
      <c r="C30" s="52" t="s">
        <v>213</v>
      </c>
      <c r="D30" s="53" t="s">
        <v>12</v>
      </c>
      <c r="E30" s="54" t="s">
        <v>253</v>
      </c>
      <c r="F30" s="53" t="s">
        <v>13</v>
      </c>
      <c r="G30" s="69" t="s">
        <v>14</v>
      </c>
      <c r="H30" s="65"/>
    </row>
    <row r="31" spans="2:8" x14ac:dyDescent="0.25">
      <c r="B31" s="111" t="s">
        <v>59</v>
      </c>
      <c r="C31" s="37">
        <v>550000</v>
      </c>
      <c r="D31" s="32">
        <f>C27</f>
        <v>0.1</v>
      </c>
      <c r="E31" s="38">
        <v>110000</v>
      </c>
      <c r="F31" s="39">
        <f>E31/C31</f>
        <v>0.2</v>
      </c>
      <c r="G31" s="29">
        <f>E31-C31*D31</f>
        <v>55000</v>
      </c>
      <c r="H31" s="65"/>
    </row>
    <row r="32" spans="2:8" x14ac:dyDescent="0.25">
      <c r="B32" s="111" t="s">
        <v>60</v>
      </c>
      <c r="C32" s="25">
        <v>300000</v>
      </c>
      <c r="D32" s="33">
        <f>C27</f>
        <v>0.1</v>
      </c>
      <c r="E32" s="27">
        <v>90000</v>
      </c>
      <c r="F32" s="35">
        <f>E32/C32</f>
        <v>0.3</v>
      </c>
      <c r="G32" s="30">
        <f t="shared" ref="G32:G33" si="0">E32-C32*D32</f>
        <v>60000</v>
      </c>
      <c r="H32" s="65"/>
    </row>
    <row r="33" spans="2:8" x14ac:dyDescent="0.25">
      <c r="B33" s="111" t="s">
        <v>61</v>
      </c>
      <c r="C33" s="26">
        <v>175000</v>
      </c>
      <c r="D33" s="34">
        <f>C27</f>
        <v>0.1</v>
      </c>
      <c r="E33" s="28">
        <v>43750</v>
      </c>
      <c r="F33" s="36">
        <f>E33/C33</f>
        <v>0.25</v>
      </c>
      <c r="G33" s="31">
        <f t="shared" si="0"/>
        <v>26250</v>
      </c>
      <c r="H33" s="65"/>
    </row>
    <row r="34" spans="2:8" x14ac:dyDescent="0.25">
      <c r="B34" s="66"/>
      <c r="C34" s="67"/>
      <c r="D34" s="67"/>
      <c r="E34" s="67"/>
      <c r="F34" s="67"/>
      <c r="G34" s="67"/>
      <c r="H34" s="68"/>
    </row>
    <row r="36" spans="2:8" x14ac:dyDescent="0.25">
      <c r="B36" s="59" t="s">
        <v>36</v>
      </c>
    </row>
    <row r="37" spans="2:8" x14ac:dyDescent="0.25">
      <c r="B37" s="60"/>
      <c r="C37" s="143" t="s">
        <v>10</v>
      </c>
      <c r="D37" s="143"/>
      <c r="E37" s="61"/>
      <c r="F37" s="61"/>
      <c r="G37" s="61"/>
      <c r="H37" s="62"/>
    </row>
    <row r="38" spans="2:8" x14ac:dyDescent="0.25">
      <c r="B38" s="94" t="s">
        <v>6</v>
      </c>
      <c r="C38" s="70" t="s">
        <v>4</v>
      </c>
      <c r="D38" s="64"/>
      <c r="E38" s="64"/>
      <c r="F38" s="64"/>
      <c r="G38" s="64"/>
      <c r="H38" s="65"/>
    </row>
    <row r="39" spans="2:8" x14ac:dyDescent="0.25">
      <c r="B39" s="63" t="s">
        <v>45</v>
      </c>
      <c r="C39" s="95">
        <v>0.1</v>
      </c>
      <c r="D39" s="64"/>
      <c r="E39" s="64"/>
      <c r="F39" s="64"/>
      <c r="G39" s="64"/>
      <c r="H39" s="65"/>
    </row>
    <row r="40" spans="2:8" x14ac:dyDescent="0.25">
      <c r="B40" s="63" t="s">
        <v>41</v>
      </c>
      <c r="C40" s="96"/>
      <c r="D40" s="73" t="s">
        <v>46</v>
      </c>
      <c r="E40" s="64"/>
      <c r="F40" s="64"/>
      <c r="G40" s="64"/>
      <c r="H40" s="65"/>
    </row>
    <row r="41" spans="2:8" x14ac:dyDescent="0.25">
      <c r="B41" s="63" t="s">
        <v>42</v>
      </c>
      <c r="C41" s="97"/>
      <c r="D41" s="73" t="s">
        <v>46</v>
      </c>
      <c r="E41" s="64"/>
      <c r="F41" s="64"/>
      <c r="G41" s="64"/>
      <c r="H41" s="65"/>
    </row>
    <row r="42" spans="2:8" x14ac:dyDescent="0.25">
      <c r="B42" s="63"/>
      <c r="C42" s="64"/>
      <c r="D42" s="64"/>
      <c r="E42" s="64"/>
      <c r="F42" s="64"/>
      <c r="G42" s="64"/>
      <c r="H42" s="65"/>
    </row>
    <row r="43" spans="2:8" x14ac:dyDescent="0.25">
      <c r="B43" s="63"/>
      <c r="C43" s="64"/>
      <c r="D43" s="64"/>
      <c r="E43" s="64"/>
      <c r="F43" s="64"/>
      <c r="G43" s="64"/>
      <c r="H43" s="65"/>
    </row>
    <row r="44" spans="2:8" ht="30" x14ac:dyDescent="0.25">
      <c r="B44" s="157" t="s">
        <v>141</v>
      </c>
      <c r="C44" s="52" t="s">
        <v>3</v>
      </c>
      <c r="D44" s="53" t="s">
        <v>12</v>
      </c>
      <c r="E44" s="54" t="s">
        <v>253</v>
      </c>
      <c r="F44" s="53" t="s">
        <v>13</v>
      </c>
      <c r="G44" s="69" t="s">
        <v>14</v>
      </c>
      <c r="H44" s="65"/>
    </row>
    <row r="45" spans="2:8" x14ac:dyDescent="0.25">
      <c r="B45" s="63" t="s">
        <v>47</v>
      </c>
      <c r="C45" s="74">
        <v>735000</v>
      </c>
      <c r="D45" s="32">
        <f>C39</f>
        <v>0.1</v>
      </c>
      <c r="E45" s="38">
        <v>110000</v>
      </c>
      <c r="F45" s="39">
        <f>E45/C45</f>
        <v>0.14965986394557823</v>
      </c>
      <c r="G45" s="29">
        <f>E45-C45*D45</f>
        <v>36500</v>
      </c>
      <c r="H45" s="65"/>
    </row>
    <row r="46" spans="2:8" x14ac:dyDescent="0.25">
      <c r="B46" s="63" t="s">
        <v>48</v>
      </c>
      <c r="C46" s="81">
        <v>11250</v>
      </c>
      <c r="D46" s="33">
        <f>IF(C40="",F46,C40)</f>
        <v>2.14</v>
      </c>
      <c r="E46" s="27">
        <v>90000</v>
      </c>
      <c r="F46" s="35">
        <v>2.14</v>
      </c>
      <c r="G46" s="31">
        <f>IF(C40="",0,E46-C46*D46)</f>
        <v>0</v>
      </c>
      <c r="H46" s="65"/>
    </row>
    <row r="47" spans="2:8" ht="15.75" thickBot="1" x14ac:dyDescent="0.3">
      <c r="B47" s="63" t="s">
        <v>49</v>
      </c>
      <c r="C47" s="75">
        <v>3750</v>
      </c>
      <c r="D47" s="34">
        <f>IF(C41="",0,C41)</f>
        <v>0</v>
      </c>
      <c r="E47" s="28">
        <v>43750</v>
      </c>
      <c r="F47" s="36">
        <v>0</v>
      </c>
      <c r="G47" s="31">
        <f>IF(C41="",0,E47-C47*D47)</f>
        <v>0</v>
      </c>
      <c r="H47" s="65"/>
    </row>
    <row r="48" spans="2:8" ht="15.75" thickTop="1" x14ac:dyDescent="0.25">
      <c r="B48" s="66" t="s">
        <v>43</v>
      </c>
      <c r="C48" s="101">
        <v>750000</v>
      </c>
      <c r="D48" s="102">
        <f>SUMPRODUCT(C45:C47,D45:D47)/C48</f>
        <v>0.13009999999999999</v>
      </c>
      <c r="E48" s="103">
        <f>SUM(E45:E47)</f>
        <v>243750</v>
      </c>
      <c r="F48" s="104">
        <f>SUMPRODUCT(E45:E47,F45:F47)/C48</f>
        <v>0.27875011337868483</v>
      </c>
      <c r="G48" s="105">
        <f>SUM(G45:G47)</f>
        <v>36500</v>
      </c>
      <c r="H48" s="68"/>
    </row>
  </sheetData>
  <mergeCells count="10">
    <mergeCell ref="C25:D25"/>
    <mergeCell ref="C37:D37"/>
    <mergeCell ref="C10:H10"/>
    <mergeCell ref="C11:H11"/>
    <mergeCell ref="C12:H12"/>
    <mergeCell ref="C13:H13"/>
    <mergeCell ref="C14:H14"/>
    <mergeCell ref="C15:H15"/>
    <mergeCell ref="D27:H28"/>
    <mergeCell ref="B17:H22"/>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9E3C003C-B2B7-42D5-AC31-EBA40280D21E}">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B81557A7-6DF8-4FA8-983E-D7E9A38EFCE6}">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65190-6C10-41C5-8B2B-F42BFEFB1AD5}">
  <sheetPr>
    <tabColor theme="7" tint="0.79998168889431442"/>
  </sheetPr>
  <dimension ref="A1:M46"/>
  <sheetViews>
    <sheetView workbookViewId="0">
      <selection activeCell="B11" sqref="B11:H16"/>
    </sheetView>
  </sheetViews>
  <sheetFormatPr baseColWidth="10" defaultRowHeight="15" x14ac:dyDescent="0.25"/>
  <cols>
    <col min="1" max="1" width="11.42578125" style="1"/>
    <col min="2" max="2" width="20.7109375" style="1" bestFit="1" customWidth="1"/>
    <col min="3" max="4" width="11.42578125" style="1"/>
    <col min="5" max="5" width="13" style="1" bestFit="1" customWidth="1"/>
    <col min="6" max="16384" width="11.42578125" style="1"/>
  </cols>
  <sheetData>
    <row r="1" spans="1:13" s="2" customFormat="1" x14ac:dyDescent="0.25">
      <c r="A1" s="3" t="s">
        <v>23</v>
      </c>
      <c r="B1" s="3"/>
      <c r="C1" s="3" t="s">
        <v>159</v>
      </c>
      <c r="D1" s="3"/>
    </row>
    <row r="3" spans="1:13" x14ac:dyDescent="0.25">
      <c r="B3" s="10" t="s">
        <v>57</v>
      </c>
      <c r="C3" s="11" t="s">
        <v>4</v>
      </c>
      <c r="J3" s="10" t="s">
        <v>5</v>
      </c>
      <c r="K3" s="10"/>
      <c r="L3" s="10"/>
      <c r="M3" s="10"/>
    </row>
    <row r="4" spans="1:13" x14ac:dyDescent="0.25">
      <c r="B4" s="1" t="s">
        <v>26</v>
      </c>
      <c r="C4" s="43"/>
      <c r="J4" s="12" t="s">
        <v>6</v>
      </c>
      <c r="K4" s="13" t="s">
        <v>7</v>
      </c>
      <c r="L4" s="13" t="s">
        <v>8</v>
      </c>
      <c r="M4" s="14" t="s">
        <v>9</v>
      </c>
    </row>
    <row r="5" spans="1:13" x14ac:dyDescent="0.25">
      <c r="B5" s="1" t="s">
        <v>38</v>
      </c>
      <c r="C5" s="72"/>
      <c r="I5" s="1" t="s">
        <v>15</v>
      </c>
      <c r="J5" s="40">
        <v>1</v>
      </c>
      <c r="K5" s="41">
        <v>0</v>
      </c>
      <c r="L5" s="41">
        <v>0</v>
      </c>
      <c r="M5" s="42">
        <v>0</v>
      </c>
    </row>
    <row r="6" spans="1:13" x14ac:dyDescent="0.25">
      <c r="B6" s="1" t="s">
        <v>39</v>
      </c>
      <c r="C6" s="72"/>
      <c r="I6" s="1" t="s">
        <v>16</v>
      </c>
      <c r="J6" s="15">
        <v>1</v>
      </c>
      <c r="K6" s="16">
        <v>0</v>
      </c>
      <c r="L6" s="16">
        <v>0</v>
      </c>
      <c r="M6" s="17">
        <v>0</v>
      </c>
    </row>
    <row r="7" spans="1:13" x14ac:dyDescent="0.25">
      <c r="B7" s="1" t="s">
        <v>40</v>
      </c>
      <c r="C7" s="72"/>
    </row>
    <row r="8" spans="1:13" x14ac:dyDescent="0.25">
      <c r="B8" s="1" t="s">
        <v>41</v>
      </c>
      <c r="C8" s="72"/>
    </row>
    <row r="9" spans="1:13" x14ac:dyDescent="0.25">
      <c r="B9" s="1" t="s">
        <v>42</v>
      </c>
      <c r="C9" s="44"/>
    </row>
    <row r="11" spans="1:13" ht="15.75" customHeight="1" x14ac:dyDescent="0.25">
      <c r="B11" s="108" t="s">
        <v>51</v>
      </c>
      <c r="C11" s="144" t="s">
        <v>55</v>
      </c>
      <c r="D11" s="144"/>
      <c r="E11" s="144"/>
      <c r="F11" s="144"/>
      <c r="G11" s="144"/>
      <c r="H11" s="145"/>
    </row>
    <row r="12" spans="1:13" ht="15.75" customHeight="1" x14ac:dyDescent="0.25">
      <c r="B12" s="109" t="s">
        <v>52</v>
      </c>
      <c r="C12" s="146" t="s">
        <v>56</v>
      </c>
      <c r="D12" s="146"/>
      <c r="E12" s="146"/>
      <c r="F12" s="146"/>
      <c r="G12" s="146"/>
      <c r="H12" s="147"/>
    </row>
    <row r="13" spans="1:13" ht="15.75" customHeight="1" x14ac:dyDescent="0.25">
      <c r="B13" s="109" t="s">
        <v>53</v>
      </c>
      <c r="C13" s="146" t="s">
        <v>244</v>
      </c>
      <c r="D13" s="146"/>
      <c r="E13" s="146"/>
      <c r="F13" s="146"/>
      <c r="G13" s="146"/>
      <c r="H13" s="147"/>
    </row>
    <row r="14" spans="1:13" ht="92.25" customHeight="1" x14ac:dyDescent="0.25">
      <c r="B14" s="109" t="s">
        <v>143</v>
      </c>
      <c r="C14" s="307" t="s">
        <v>224</v>
      </c>
      <c r="D14" s="158"/>
      <c r="E14" s="158"/>
      <c r="F14" s="158"/>
      <c r="G14" s="158"/>
      <c r="H14" s="159"/>
    </row>
    <row r="15" spans="1:13" ht="33.75" customHeight="1" x14ac:dyDescent="0.25">
      <c r="B15" s="109" t="s">
        <v>145</v>
      </c>
      <c r="C15" s="146" t="s">
        <v>232</v>
      </c>
      <c r="D15" s="146"/>
      <c r="E15" s="146"/>
      <c r="F15" s="146"/>
      <c r="G15" s="146"/>
      <c r="H15" s="147"/>
      <c r="I15" s="106"/>
    </row>
    <row r="16" spans="1:13" ht="45" customHeight="1" x14ac:dyDescent="0.25">
      <c r="B16" s="110" t="s">
        <v>54</v>
      </c>
      <c r="C16" s="148" t="s">
        <v>158</v>
      </c>
      <c r="D16" s="148"/>
      <c r="E16" s="148"/>
      <c r="F16" s="148"/>
      <c r="G16" s="148"/>
      <c r="H16" s="149"/>
    </row>
    <row r="18" spans="2:10" ht="20.100000000000001" customHeight="1" x14ac:dyDescent="0.25">
      <c r="B18" s="312" t="s">
        <v>209</v>
      </c>
      <c r="C18" s="313"/>
      <c r="D18" s="313"/>
      <c r="E18" s="313"/>
      <c r="F18" s="313"/>
      <c r="G18" s="313"/>
      <c r="H18" s="314"/>
    </row>
    <row r="19" spans="2:10" ht="20.100000000000001" customHeight="1" x14ac:dyDescent="0.25">
      <c r="B19" s="310"/>
      <c r="C19" s="311"/>
      <c r="D19" s="311"/>
      <c r="E19" s="311"/>
      <c r="F19" s="311"/>
      <c r="G19" s="311"/>
      <c r="H19" s="315"/>
    </row>
    <row r="20" spans="2:10" ht="20.100000000000001" customHeight="1" x14ac:dyDescent="0.25">
      <c r="B20" s="310"/>
      <c r="C20" s="311"/>
      <c r="D20" s="311"/>
      <c r="E20" s="311"/>
      <c r="F20" s="311"/>
      <c r="G20" s="311"/>
      <c r="H20" s="315"/>
    </row>
    <row r="21" spans="2:10" ht="20.100000000000001" customHeight="1" x14ac:dyDescent="0.25">
      <c r="B21" s="310"/>
      <c r="C21" s="311"/>
      <c r="D21" s="311"/>
      <c r="E21" s="311"/>
      <c r="F21" s="311"/>
      <c r="G21" s="311"/>
      <c r="H21" s="315"/>
    </row>
    <row r="22" spans="2:10" ht="20.100000000000001" customHeight="1" x14ac:dyDescent="0.25">
      <c r="B22" s="310"/>
      <c r="C22" s="311"/>
      <c r="D22" s="311"/>
      <c r="E22" s="311"/>
      <c r="F22" s="311"/>
      <c r="G22" s="311"/>
      <c r="H22" s="315"/>
    </row>
    <row r="23" spans="2:10" ht="33" customHeight="1" x14ac:dyDescent="0.25">
      <c r="B23" s="316"/>
      <c r="C23" s="317"/>
      <c r="D23" s="317"/>
      <c r="E23" s="317"/>
      <c r="F23" s="317"/>
      <c r="G23" s="317"/>
      <c r="H23" s="318"/>
    </row>
    <row r="25" spans="2:10" x14ac:dyDescent="0.25">
      <c r="B25" s="59" t="s">
        <v>34</v>
      </c>
    </row>
    <row r="26" spans="2:10" x14ac:dyDescent="0.25">
      <c r="B26" s="60"/>
      <c r="C26" s="143" t="s">
        <v>10</v>
      </c>
      <c r="D26" s="143"/>
      <c r="E26" s="61"/>
      <c r="F26" s="61"/>
      <c r="G26" s="61"/>
      <c r="H26" s="61"/>
      <c r="I26" s="61"/>
      <c r="J26" s="62"/>
    </row>
    <row r="27" spans="2:10" x14ac:dyDescent="0.25">
      <c r="B27" s="63"/>
      <c r="C27" s="45" t="s">
        <v>4</v>
      </c>
      <c r="D27" s="64"/>
      <c r="E27" s="64"/>
      <c r="F27" s="64"/>
      <c r="G27" s="64"/>
      <c r="H27" s="64"/>
      <c r="I27" s="64"/>
      <c r="J27" s="65"/>
    </row>
    <row r="28" spans="2:10" x14ac:dyDescent="0.25">
      <c r="B28" s="120" t="s">
        <v>26</v>
      </c>
      <c r="C28" s="121">
        <v>0.05</v>
      </c>
      <c r="D28" s="64"/>
      <c r="E28" s="64"/>
      <c r="F28" s="64"/>
      <c r="G28" s="64"/>
      <c r="H28" s="64"/>
      <c r="I28" s="64"/>
      <c r="J28" s="65"/>
    </row>
    <row r="29" spans="2:10" x14ac:dyDescent="0.25">
      <c r="B29" s="120" t="s">
        <v>38</v>
      </c>
      <c r="C29" s="121">
        <v>0.02</v>
      </c>
      <c r="D29" s="64"/>
      <c r="E29" s="64"/>
      <c r="F29" s="64"/>
      <c r="G29" s="64"/>
      <c r="H29" s="64"/>
      <c r="I29" s="64"/>
      <c r="J29" s="65"/>
    </row>
    <row r="30" spans="2:10" x14ac:dyDescent="0.25">
      <c r="B30" s="120" t="s">
        <v>39</v>
      </c>
      <c r="C30" s="121">
        <v>7.4999999999999997E-2</v>
      </c>
      <c r="D30" s="64"/>
      <c r="E30" s="64"/>
      <c r="F30" s="64"/>
      <c r="G30" s="64"/>
      <c r="H30" s="64"/>
      <c r="I30" s="64"/>
      <c r="J30" s="65"/>
    </row>
    <row r="31" spans="2:10" x14ac:dyDescent="0.25">
      <c r="B31" s="120" t="s">
        <v>40</v>
      </c>
      <c r="C31" s="121">
        <v>0.5</v>
      </c>
      <c r="D31" s="64"/>
      <c r="E31" s="64"/>
      <c r="F31" s="64"/>
      <c r="G31" s="64"/>
      <c r="H31" s="64"/>
      <c r="I31" s="64"/>
      <c r="J31" s="65"/>
    </row>
    <row r="32" spans="2:10" ht="30" customHeight="1" x14ac:dyDescent="0.25">
      <c r="B32" s="120" t="s">
        <v>41</v>
      </c>
      <c r="C32" s="122" t="s">
        <v>63</v>
      </c>
      <c r="D32" s="150" t="s">
        <v>142</v>
      </c>
      <c r="E32" s="151"/>
      <c r="F32" s="151"/>
      <c r="G32" s="151"/>
      <c r="H32" s="151"/>
      <c r="I32" s="151"/>
      <c r="J32" s="152"/>
    </row>
    <row r="33" spans="2:10" ht="31.5" customHeight="1" x14ac:dyDescent="0.25">
      <c r="B33" s="120" t="s">
        <v>42</v>
      </c>
      <c r="C33" s="123" t="s">
        <v>63</v>
      </c>
      <c r="D33" s="150" t="s">
        <v>142</v>
      </c>
      <c r="E33" s="151"/>
      <c r="F33" s="151"/>
      <c r="G33" s="151"/>
      <c r="H33" s="151"/>
      <c r="I33" s="151"/>
      <c r="J33" s="152"/>
    </row>
    <row r="34" spans="2:10" x14ac:dyDescent="0.25">
      <c r="B34" s="63"/>
      <c r="D34" s="64"/>
      <c r="E34" s="64"/>
      <c r="F34" s="64"/>
      <c r="G34" s="64"/>
      <c r="H34" s="64"/>
      <c r="I34" s="64"/>
      <c r="J34" s="65"/>
    </row>
    <row r="35" spans="2:10" x14ac:dyDescent="0.25">
      <c r="B35" s="63"/>
      <c r="C35" s="64"/>
      <c r="D35" s="64"/>
      <c r="E35" s="64"/>
      <c r="F35" s="64"/>
      <c r="G35" s="64"/>
      <c r="H35" s="64"/>
      <c r="I35" s="64"/>
      <c r="J35" s="65"/>
    </row>
    <row r="36" spans="2:10" x14ac:dyDescent="0.25">
      <c r="B36" s="63"/>
      <c r="C36" s="64"/>
      <c r="D36" s="64"/>
      <c r="E36" s="64"/>
      <c r="F36" s="64"/>
      <c r="G36" s="64"/>
      <c r="H36" s="64"/>
      <c r="I36" s="64"/>
      <c r="J36" s="65"/>
    </row>
    <row r="37" spans="2:10" x14ac:dyDescent="0.25">
      <c r="B37" s="63"/>
      <c r="C37" s="64" t="s">
        <v>35</v>
      </c>
      <c r="D37" s="64"/>
      <c r="E37" s="64"/>
      <c r="F37" s="64"/>
      <c r="G37" s="64"/>
      <c r="H37" s="64"/>
      <c r="I37" s="64"/>
      <c r="J37" s="65"/>
    </row>
    <row r="38" spans="2:10" ht="30" x14ac:dyDescent="0.25">
      <c r="B38" s="157" t="s">
        <v>141</v>
      </c>
      <c r="C38" s="52" t="s">
        <v>213</v>
      </c>
      <c r="D38" s="53" t="s">
        <v>150</v>
      </c>
      <c r="E38" s="54" t="s">
        <v>253</v>
      </c>
      <c r="F38" s="54" t="s">
        <v>214</v>
      </c>
      <c r="G38" s="55" t="s">
        <v>14</v>
      </c>
      <c r="J38" s="65"/>
    </row>
    <row r="39" spans="2:10" x14ac:dyDescent="0.25">
      <c r="B39" s="63" t="s">
        <v>26</v>
      </c>
      <c r="C39" s="74">
        <v>75000</v>
      </c>
      <c r="D39" s="78">
        <f t="shared" ref="D39:D42" si="0">IF(C28="","",C28)</f>
        <v>0.05</v>
      </c>
      <c r="E39" s="79">
        <v>75000</v>
      </c>
      <c r="F39" s="80">
        <f>E39/C39</f>
        <v>1</v>
      </c>
      <c r="G39" s="29">
        <f>E39-C39*D39</f>
        <v>71250</v>
      </c>
      <c r="J39" s="65"/>
    </row>
    <row r="40" spans="2:10" x14ac:dyDescent="0.25">
      <c r="B40" s="63" t="s">
        <v>38</v>
      </c>
      <c r="C40" s="81">
        <v>600000</v>
      </c>
      <c r="D40" s="82">
        <f t="shared" si="0"/>
        <v>0.02</v>
      </c>
      <c r="E40" s="83">
        <v>600000</v>
      </c>
      <c r="F40" s="84">
        <f t="shared" ref="F40:F44" si="1">E40/C40</f>
        <v>1</v>
      </c>
      <c r="G40" s="30">
        <f t="shared" ref="G40:G44" si="2">E40-C40*D40</f>
        <v>588000</v>
      </c>
      <c r="J40" s="65"/>
    </row>
    <row r="41" spans="2:10" x14ac:dyDescent="0.25">
      <c r="B41" s="63" t="s">
        <v>39</v>
      </c>
      <c r="C41" s="81">
        <v>37500</v>
      </c>
      <c r="D41" s="82">
        <f t="shared" si="0"/>
        <v>7.4999999999999997E-2</v>
      </c>
      <c r="E41" s="83">
        <v>37500</v>
      </c>
      <c r="F41" s="84">
        <f t="shared" si="1"/>
        <v>1</v>
      </c>
      <c r="G41" s="30">
        <f t="shared" si="2"/>
        <v>34687.5</v>
      </c>
      <c r="J41" s="65"/>
    </row>
    <row r="42" spans="2:10" x14ac:dyDescent="0.25">
      <c r="B42" s="63" t="s">
        <v>40</v>
      </c>
      <c r="C42" s="81">
        <v>22500</v>
      </c>
      <c r="D42" s="82">
        <f t="shared" si="0"/>
        <v>0.5</v>
      </c>
      <c r="E42" s="83">
        <v>22500</v>
      </c>
      <c r="F42" s="84">
        <f t="shared" si="1"/>
        <v>1</v>
      </c>
      <c r="G42" s="30">
        <f t="shared" si="2"/>
        <v>11250</v>
      </c>
      <c r="J42" s="65"/>
    </row>
    <row r="43" spans="2:10" x14ac:dyDescent="0.25">
      <c r="B43" s="63" t="s">
        <v>41</v>
      </c>
      <c r="C43" s="81">
        <v>11250</v>
      </c>
      <c r="D43" s="82">
        <f>IF(C32="excl. Disc.",F43,C32)</f>
        <v>2.14</v>
      </c>
      <c r="E43" s="83">
        <v>24075</v>
      </c>
      <c r="F43" s="84">
        <f>E43/C43</f>
        <v>2.14</v>
      </c>
      <c r="G43" s="309">
        <f>E43-C43*D43</f>
        <v>0</v>
      </c>
      <c r="J43" s="65"/>
    </row>
    <row r="44" spans="2:10" ht="15.75" thickBot="1" x14ac:dyDescent="0.3">
      <c r="B44" s="63" t="s">
        <v>42</v>
      </c>
      <c r="C44" s="85">
        <v>3750</v>
      </c>
      <c r="D44" s="87">
        <f>IF(C33="excl. Disc.",0,C33)</f>
        <v>0</v>
      </c>
      <c r="E44" s="88">
        <v>0</v>
      </c>
      <c r="F44" s="89">
        <f t="shared" si="1"/>
        <v>0</v>
      </c>
      <c r="G44" s="90">
        <f t="shared" si="2"/>
        <v>0</v>
      </c>
      <c r="J44" s="65"/>
    </row>
    <row r="45" spans="2:10" ht="15.75" thickTop="1" x14ac:dyDescent="0.25">
      <c r="B45" s="63" t="s">
        <v>43</v>
      </c>
      <c r="C45" s="86">
        <v>750000</v>
      </c>
      <c r="D45" s="98">
        <f>SUMPRODUCT(C39:C44,D39:D44)/C45</f>
        <v>7.1849999999999997E-2</v>
      </c>
      <c r="E45" s="91">
        <f>SUM(E39:E44)</f>
        <v>759075</v>
      </c>
      <c r="F45" s="100">
        <f>SUMPRODUCT(E39:E44,F39:F44)/C45</f>
        <v>1.048694</v>
      </c>
      <c r="G45" s="99">
        <f>SUM(G39:G44)</f>
        <v>705187.5</v>
      </c>
      <c r="H45" s="64"/>
      <c r="I45" s="64"/>
      <c r="J45" s="65"/>
    </row>
    <row r="46" spans="2:10" x14ac:dyDescent="0.25">
      <c r="B46" s="66"/>
      <c r="C46" s="67"/>
      <c r="D46" s="67"/>
      <c r="E46" s="67"/>
      <c r="F46" s="67"/>
      <c r="G46" s="67"/>
      <c r="H46" s="67"/>
      <c r="I46" s="67"/>
      <c r="J46" s="68"/>
    </row>
  </sheetData>
  <mergeCells count="10">
    <mergeCell ref="D32:J32"/>
    <mergeCell ref="D33:J33"/>
    <mergeCell ref="C26:D26"/>
    <mergeCell ref="C11:H11"/>
    <mergeCell ref="C12:H12"/>
    <mergeCell ref="C13:H13"/>
    <mergeCell ref="C14:H14"/>
    <mergeCell ref="C15:H15"/>
    <mergeCell ref="C16:H16"/>
    <mergeCell ref="B18:H23"/>
  </mergeCells>
  <dataValidations count="1">
    <dataValidation type="list" allowBlank="1" showInputMessage="1" showErrorMessage="1" sqref="C32:C33" xr:uid="{583CD228-0428-47F0-98F0-A7B3BF2FAC48}">
      <formula1>"excl. Disc.,incl. Disc"</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3" id="{0E8A8E48-2E75-4730-AC76-47D49E80C5EB}">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2" id="{78DA4A7C-9174-4ACD-A73F-B0F62C5AB845}">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0D9B7-5486-479E-B1FC-624CEF933118}">
  <sheetPr>
    <tabColor theme="7" tint="0.79998168889431442"/>
  </sheetPr>
  <dimension ref="A1:M35"/>
  <sheetViews>
    <sheetView workbookViewId="0">
      <selection activeCell="C13" sqref="C13:H13"/>
    </sheetView>
  </sheetViews>
  <sheetFormatPr baseColWidth="10" defaultRowHeight="15" x14ac:dyDescent="0.25"/>
  <cols>
    <col min="1" max="1" width="11.42578125" style="1"/>
    <col min="2" max="2" width="18.28515625" style="1" customWidth="1"/>
    <col min="3" max="4" width="11.42578125" style="1"/>
    <col min="5" max="5" width="13" style="1" bestFit="1" customWidth="1"/>
    <col min="6" max="6" width="17.140625" style="1" bestFit="1" customWidth="1"/>
    <col min="7" max="7" width="14" style="1" bestFit="1" customWidth="1"/>
    <col min="8" max="16384" width="11.42578125" style="1"/>
  </cols>
  <sheetData>
    <row r="1" spans="1:13" s="2" customFormat="1" x14ac:dyDescent="0.25">
      <c r="A1" s="3" t="s">
        <v>23</v>
      </c>
      <c r="B1" s="3"/>
      <c r="C1" s="3" t="s">
        <v>21</v>
      </c>
      <c r="D1" s="3"/>
    </row>
    <row r="3" spans="1:13" x14ac:dyDescent="0.25">
      <c r="C3" s="160" t="s">
        <v>3</v>
      </c>
      <c r="D3" s="160" t="s">
        <v>4</v>
      </c>
      <c r="J3" s="10" t="s">
        <v>5</v>
      </c>
      <c r="K3" s="10"/>
      <c r="L3" s="10"/>
      <c r="M3" s="10"/>
    </row>
    <row r="4" spans="1:13" x14ac:dyDescent="0.25">
      <c r="B4" s="1" t="s">
        <v>0</v>
      </c>
      <c r="C4" s="4"/>
      <c r="D4" s="5"/>
      <c r="J4" s="12" t="s">
        <v>6</v>
      </c>
      <c r="K4" s="13" t="s">
        <v>7</v>
      </c>
      <c r="L4" s="13" t="s">
        <v>8</v>
      </c>
      <c r="M4" s="14" t="s">
        <v>9</v>
      </c>
    </row>
    <row r="5" spans="1:13" x14ac:dyDescent="0.25">
      <c r="B5" s="1" t="s">
        <v>1</v>
      </c>
      <c r="C5" s="6"/>
      <c r="D5" s="7"/>
      <c r="I5" s="1" t="s">
        <v>15</v>
      </c>
      <c r="J5" s="40">
        <v>1</v>
      </c>
      <c r="K5" s="41">
        <v>-0.01</v>
      </c>
      <c r="L5" s="41">
        <v>1</v>
      </c>
      <c r="M5" s="42">
        <v>1</v>
      </c>
    </row>
    <row r="6" spans="1:13" x14ac:dyDescent="0.25">
      <c r="B6" s="1" t="s">
        <v>2</v>
      </c>
      <c r="C6" s="8"/>
      <c r="D6" s="9"/>
      <c r="I6" s="1" t="s">
        <v>16</v>
      </c>
      <c r="J6" s="15">
        <v>1</v>
      </c>
      <c r="K6" s="16">
        <v>-0.01</v>
      </c>
      <c r="L6" s="16">
        <v>1</v>
      </c>
      <c r="M6" s="17">
        <v>1</v>
      </c>
    </row>
    <row r="8" spans="1:13" ht="15.75" customHeight="1" x14ac:dyDescent="0.25">
      <c r="B8" s="108" t="s">
        <v>51</v>
      </c>
      <c r="C8" s="144" t="s">
        <v>62</v>
      </c>
      <c r="D8" s="144"/>
      <c r="E8" s="144"/>
      <c r="F8" s="144"/>
      <c r="G8" s="144"/>
      <c r="H8" s="145"/>
    </row>
    <row r="9" spans="1:13" ht="48" customHeight="1" x14ac:dyDescent="0.25">
      <c r="B9" s="109" t="s">
        <v>52</v>
      </c>
      <c r="C9" s="153" t="s">
        <v>215</v>
      </c>
      <c r="D9" s="146"/>
      <c r="E9" s="146"/>
      <c r="F9" s="146"/>
      <c r="G9" s="146"/>
      <c r="H9" s="147"/>
    </row>
    <row r="10" spans="1:13" ht="15.75" customHeight="1" x14ac:dyDescent="0.25">
      <c r="B10" s="109" t="s">
        <v>53</v>
      </c>
      <c r="C10" s="146" t="s">
        <v>245</v>
      </c>
      <c r="D10" s="146"/>
      <c r="E10" s="146"/>
      <c r="F10" s="146"/>
      <c r="G10" s="146"/>
      <c r="H10" s="147"/>
    </row>
    <row r="11" spans="1:13" ht="66.75" customHeight="1" x14ac:dyDescent="0.25">
      <c r="B11" s="109" t="s">
        <v>143</v>
      </c>
      <c r="C11" s="307" t="s">
        <v>223</v>
      </c>
      <c r="D11" s="158"/>
      <c r="E11" s="158"/>
      <c r="F11" s="158"/>
      <c r="G11" s="158"/>
      <c r="H11" s="159"/>
    </row>
    <row r="12" spans="1:13" ht="30" customHeight="1" x14ac:dyDescent="0.25">
      <c r="B12" s="109" t="s">
        <v>145</v>
      </c>
      <c r="C12" s="146" t="s">
        <v>232</v>
      </c>
      <c r="D12" s="146"/>
      <c r="E12" s="146"/>
      <c r="F12" s="146"/>
      <c r="G12" s="146"/>
      <c r="H12" s="147"/>
      <c r="I12" s="106"/>
    </row>
    <row r="13" spans="1:13" ht="31.5" customHeight="1" x14ac:dyDescent="0.25">
      <c r="B13" s="110" t="s">
        <v>54</v>
      </c>
      <c r="C13" s="148" t="s">
        <v>58</v>
      </c>
      <c r="D13" s="148"/>
      <c r="E13" s="148"/>
      <c r="F13" s="148"/>
      <c r="G13" s="148"/>
      <c r="H13" s="149"/>
    </row>
    <row r="15" spans="1:13" ht="15" customHeight="1" x14ac:dyDescent="0.25">
      <c r="B15" s="312" t="s">
        <v>230</v>
      </c>
      <c r="C15" s="313"/>
      <c r="D15" s="313"/>
      <c r="E15" s="313"/>
      <c r="F15" s="313"/>
      <c r="G15" s="313"/>
      <c r="H15" s="314"/>
    </row>
    <row r="16" spans="1:13" x14ac:dyDescent="0.25">
      <c r="B16" s="310"/>
      <c r="C16" s="311"/>
      <c r="D16" s="311"/>
      <c r="E16" s="311"/>
      <c r="F16" s="311"/>
      <c r="G16" s="311"/>
      <c r="H16" s="315"/>
    </row>
    <row r="17" spans="2:8" x14ac:dyDescent="0.25">
      <c r="B17" s="310"/>
      <c r="C17" s="311"/>
      <c r="D17" s="311"/>
      <c r="E17" s="311"/>
      <c r="F17" s="311"/>
      <c r="G17" s="311"/>
      <c r="H17" s="315"/>
    </row>
    <row r="18" spans="2:8" x14ac:dyDescent="0.25">
      <c r="B18" s="310"/>
      <c r="C18" s="311"/>
      <c r="D18" s="311"/>
      <c r="E18" s="311"/>
      <c r="F18" s="311"/>
      <c r="G18" s="311"/>
      <c r="H18" s="315"/>
    </row>
    <row r="19" spans="2:8" x14ac:dyDescent="0.25">
      <c r="B19" s="310"/>
      <c r="C19" s="311"/>
      <c r="D19" s="311"/>
      <c r="E19" s="311"/>
      <c r="F19" s="311"/>
      <c r="G19" s="311"/>
      <c r="H19" s="315"/>
    </row>
    <row r="20" spans="2:8" x14ac:dyDescent="0.25">
      <c r="B20" s="316"/>
      <c r="C20" s="317"/>
      <c r="D20" s="317"/>
      <c r="E20" s="317"/>
      <c r="F20" s="317"/>
      <c r="G20" s="317"/>
      <c r="H20" s="318"/>
    </row>
    <row r="23" spans="2:8" x14ac:dyDescent="0.25">
      <c r="B23" s="60"/>
      <c r="C23" s="143" t="s">
        <v>10</v>
      </c>
      <c r="D23" s="143"/>
      <c r="E23" s="61"/>
      <c r="F23" s="61"/>
      <c r="G23" s="61"/>
      <c r="H23" s="62"/>
    </row>
    <row r="24" spans="2:8" x14ac:dyDescent="0.25">
      <c r="B24" s="63"/>
      <c r="C24" s="70" t="s">
        <v>3</v>
      </c>
      <c r="D24" s="70" t="s">
        <v>4</v>
      </c>
      <c r="E24" s="64"/>
      <c r="F24" s="64"/>
      <c r="G24" s="64"/>
      <c r="H24" s="65"/>
    </row>
    <row r="25" spans="2:8" x14ac:dyDescent="0.25">
      <c r="B25" s="63" t="s">
        <v>0</v>
      </c>
      <c r="C25" s="4"/>
      <c r="D25" s="21">
        <v>0.1</v>
      </c>
      <c r="E25" s="64"/>
      <c r="F25" s="64"/>
      <c r="G25" s="64"/>
      <c r="H25" s="65"/>
    </row>
    <row r="26" spans="2:8" x14ac:dyDescent="0.25">
      <c r="B26" s="63" t="s">
        <v>1</v>
      </c>
      <c r="C26" s="19">
        <v>200000</v>
      </c>
      <c r="D26" s="22">
        <v>0.08</v>
      </c>
      <c r="E26" s="64"/>
      <c r="F26" s="64"/>
      <c r="G26" s="64"/>
      <c r="H26" s="65"/>
    </row>
    <row r="27" spans="2:8" x14ac:dyDescent="0.25">
      <c r="B27" s="63" t="s">
        <v>2</v>
      </c>
      <c r="C27" s="20">
        <v>500000</v>
      </c>
      <c r="D27" s="23">
        <v>0.05</v>
      </c>
      <c r="E27" s="64"/>
      <c r="F27" s="64"/>
      <c r="G27" s="64"/>
      <c r="H27" s="65"/>
    </row>
    <row r="28" spans="2:8" x14ac:dyDescent="0.25">
      <c r="B28" s="63"/>
      <c r="C28" s="64"/>
      <c r="D28" s="64"/>
      <c r="E28" s="64"/>
      <c r="F28" s="64"/>
      <c r="G28" s="64"/>
      <c r="H28" s="65"/>
    </row>
    <row r="29" spans="2:8" x14ac:dyDescent="0.25">
      <c r="B29" s="63"/>
      <c r="C29" s="64"/>
      <c r="D29" s="64"/>
      <c r="E29" s="64"/>
      <c r="F29" s="64"/>
      <c r="G29" s="64"/>
      <c r="H29" s="65"/>
    </row>
    <row r="30" spans="2:8" x14ac:dyDescent="0.25">
      <c r="B30" s="63"/>
      <c r="C30" s="64"/>
      <c r="D30" s="64"/>
      <c r="E30" s="64"/>
      <c r="F30" s="64"/>
      <c r="G30" s="64"/>
      <c r="H30" s="65"/>
    </row>
    <row r="31" spans="2:8" ht="30" x14ac:dyDescent="0.25">
      <c r="B31" s="63"/>
      <c r="C31" s="52" t="s">
        <v>213</v>
      </c>
      <c r="D31" s="53" t="s">
        <v>150</v>
      </c>
      <c r="E31" s="54" t="s">
        <v>253</v>
      </c>
      <c r="F31" s="54" t="s">
        <v>214</v>
      </c>
      <c r="G31" s="55" t="s">
        <v>14</v>
      </c>
      <c r="H31" s="65"/>
    </row>
    <row r="32" spans="2:8" x14ac:dyDescent="0.25">
      <c r="B32" s="71" t="s">
        <v>34</v>
      </c>
      <c r="C32" s="37">
        <v>550000</v>
      </c>
      <c r="D32" s="32">
        <f>IF(C32&gt;C27,(C26*D25+(C27-C26)*D26+(C32-C27)*D27)/C32,IF(AND(C32&lt;C27,C32&gt;C26),(C26*D25+(C32-C26)*D26)/C32,IF(AND(C32&lt;C27,C32&lt;C26),D25,"ERROR")))</f>
        <v>8.4545454545454549E-2</v>
      </c>
      <c r="E32" s="38">
        <v>110000</v>
      </c>
      <c r="F32" s="39">
        <f>E32/C32</f>
        <v>0.2</v>
      </c>
      <c r="G32" s="29">
        <f>E32-C32*D32</f>
        <v>63500</v>
      </c>
      <c r="H32" s="65"/>
    </row>
    <row r="33" spans="2:8" x14ac:dyDescent="0.25">
      <c r="B33" s="71" t="s">
        <v>36</v>
      </c>
      <c r="C33" s="25">
        <v>300000</v>
      </c>
      <c r="D33" s="33">
        <f>IF(C33&gt;C27,(C26*D25+(C27-C26)*D26+(C33-C27)*D27)/C33,IF(AND(C33&lt;C27,C33&gt;C26),(C26*D25+(C33-C26)*D26)/C33,IF(AND(C33&lt;C27,C33&lt;C26),D25,"ERROR")))</f>
        <v>9.3333333333333338E-2</v>
      </c>
      <c r="E33" s="27">
        <v>90000</v>
      </c>
      <c r="F33" s="35">
        <f>E33/C33</f>
        <v>0.3</v>
      </c>
      <c r="G33" s="30">
        <f t="shared" ref="G33:G34" si="0">E33-C33*D33</f>
        <v>62000</v>
      </c>
      <c r="H33" s="65"/>
    </row>
    <row r="34" spans="2:8" x14ac:dyDescent="0.25">
      <c r="B34" s="71" t="s">
        <v>37</v>
      </c>
      <c r="C34" s="26">
        <v>175000</v>
      </c>
      <c r="D34" s="34">
        <f>IF(C34&gt;C27,(C26*D25+(C27-C26)*D26+(C34-C27)*D27)/C34,IF(AND(C34&lt;C27,C34&gt;C26),(C26*D25+(C34-C26)*D26)/C34,IF(AND(C34&lt;C27,C34&lt;C26),D25,"ERROR")))</f>
        <v>0.1</v>
      </c>
      <c r="E34" s="28">
        <v>43750</v>
      </c>
      <c r="F34" s="36">
        <f>E34/C34</f>
        <v>0.25</v>
      </c>
      <c r="G34" s="31">
        <f t="shared" si="0"/>
        <v>26250</v>
      </c>
      <c r="H34" s="65"/>
    </row>
    <row r="35" spans="2:8" x14ac:dyDescent="0.25">
      <c r="B35" s="66"/>
      <c r="C35" s="67"/>
      <c r="D35" s="67"/>
      <c r="E35" s="67"/>
      <c r="F35" s="67"/>
      <c r="G35" s="67"/>
      <c r="H35" s="68"/>
    </row>
  </sheetData>
  <mergeCells count="8">
    <mergeCell ref="C23:D23"/>
    <mergeCell ref="C8:H8"/>
    <mergeCell ref="C9:H9"/>
    <mergeCell ref="C10:H10"/>
    <mergeCell ref="C13:H13"/>
    <mergeCell ref="C12:H12"/>
    <mergeCell ref="C11:H11"/>
    <mergeCell ref="B15:H20"/>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9F43222A-8343-46E0-B248-D3D0A72F818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BCDDC633-A7EA-45B4-B75E-5CDA5CCD8388}">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CE522-2B3A-4454-B6E8-F762717F40BB}">
  <sheetPr>
    <tabColor theme="7" tint="0.79998168889431442"/>
  </sheetPr>
  <dimension ref="A1:M35"/>
  <sheetViews>
    <sheetView workbookViewId="0">
      <selection activeCell="C13" sqref="C13:H13"/>
    </sheetView>
  </sheetViews>
  <sheetFormatPr baseColWidth="10" defaultRowHeight="15" x14ac:dyDescent="0.25"/>
  <cols>
    <col min="1" max="1" width="11.42578125" style="1"/>
    <col min="2" max="2" width="18.28515625" style="1" customWidth="1"/>
    <col min="3" max="3" width="14" style="1" bestFit="1" customWidth="1"/>
    <col min="4" max="4" width="11.42578125" style="1"/>
    <col min="5" max="5" width="13" style="1" bestFit="1" customWidth="1"/>
    <col min="6" max="6" width="17.140625" style="1" bestFit="1" customWidth="1"/>
    <col min="7" max="7" width="14" style="1" bestFit="1" customWidth="1"/>
    <col min="8" max="16384" width="11.42578125" style="1"/>
  </cols>
  <sheetData>
    <row r="1" spans="1:13" s="2" customFormat="1" x14ac:dyDescent="0.25">
      <c r="A1" s="3" t="s">
        <v>23</v>
      </c>
      <c r="B1" s="3"/>
      <c r="C1" s="3" t="s">
        <v>24</v>
      </c>
      <c r="D1" s="3"/>
    </row>
    <row r="3" spans="1:13" x14ac:dyDescent="0.25">
      <c r="C3" s="11" t="s">
        <v>3</v>
      </c>
      <c r="D3" s="11" t="s">
        <v>4</v>
      </c>
      <c r="J3" s="10" t="s">
        <v>5</v>
      </c>
      <c r="K3" s="10"/>
      <c r="L3" s="10"/>
      <c r="M3" s="10"/>
    </row>
    <row r="4" spans="1:13" x14ac:dyDescent="0.25">
      <c r="B4" s="1" t="s">
        <v>151</v>
      </c>
      <c r="C4" s="4"/>
      <c r="D4" s="5"/>
      <c r="J4" s="12" t="s">
        <v>6</v>
      </c>
      <c r="K4" s="13" t="s">
        <v>7</v>
      </c>
      <c r="L4" s="13" t="s">
        <v>8</v>
      </c>
      <c r="M4" s="14" t="s">
        <v>9</v>
      </c>
    </row>
    <row r="5" spans="1:13" x14ac:dyDescent="0.25">
      <c r="B5" s="1" t="s">
        <v>152</v>
      </c>
      <c r="C5" s="6"/>
      <c r="D5" s="7"/>
      <c r="I5" s="1" t="s">
        <v>15</v>
      </c>
      <c r="J5" s="40">
        <v>1</v>
      </c>
      <c r="K5" s="41">
        <v>-0.01</v>
      </c>
      <c r="L5" s="41">
        <v>1</v>
      </c>
      <c r="M5" s="42">
        <v>1</v>
      </c>
    </row>
    <row r="6" spans="1:13" x14ac:dyDescent="0.25">
      <c r="B6" s="1" t="s">
        <v>153</v>
      </c>
      <c r="C6" s="8"/>
      <c r="D6" s="9"/>
      <c r="I6" s="1" t="s">
        <v>16</v>
      </c>
      <c r="J6" s="15">
        <v>1</v>
      </c>
      <c r="K6" s="16">
        <v>-0.01</v>
      </c>
      <c r="L6" s="16">
        <v>1</v>
      </c>
      <c r="M6" s="17">
        <v>1</v>
      </c>
    </row>
    <row r="8" spans="1:13" ht="15.75" customHeight="1" x14ac:dyDescent="0.25">
      <c r="B8" s="108" t="s">
        <v>51</v>
      </c>
      <c r="C8" s="144" t="s">
        <v>216</v>
      </c>
      <c r="D8" s="144"/>
      <c r="E8" s="144"/>
      <c r="F8" s="144"/>
      <c r="G8" s="144"/>
      <c r="H8" s="145"/>
    </row>
    <row r="9" spans="1:13" ht="48" customHeight="1" x14ac:dyDescent="0.25">
      <c r="B9" s="109" t="s">
        <v>52</v>
      </c>
      <c r="C9" s="153" t="s">
        <v>217</v>
      </c>
      <c r="D9" s="146"/>
      <c r="E9" s="146"/>
      <c r="F9" s="146"/>
      <c r="G9" s="146"/>
      <c r="H9" s="147"/>
    </row>
    <row r="10" spans="1:13" ht="15.75" customHeight="1" x14ac:dyDescent="0.25">
      <c r="B10" s="109" t="s">
        <v>53</v>
      </c>
      <c r="C10" s="146" t="s">
        <v>229</v>
      </c>
      <c r="D10" s="146"/>
      <c r="E10" s="146"/>
      <c r="F10" s="146"/>
      <c r="G10" s="146"/>
      <c r="H10" s="147"/>
    </row>
    <row r="11" spans="1:13" ht="61.5" customHeight="1" x14ac:dyDescent="0.25">
      <c r="B11" s="109" t="s">
        <v>143</v>
      </c>
      <c r="C11" s="307" t="s">
        <v>222</v>
      </c>
      <c r="D11" s="158"/>
      <c r="E11" s="158"/>
      <c r="F11" s="158"/>
      <c r="G11" s="158"/>
      <c r="H11" s="159"/>
    </row>
    <row r="12" spans="1:13" ht="30" customHeight="1" x14ac:dyDescent="0.25">
      <c r="B12" s="109" t="s">
        <v>145</v>
      </c>
      <c r="C12" s="146" t="s">
        <v>232</v>
      </c>
      <c r="D12" s="146"/>
      <c r="E12" s="146"/>
      <c r="F12" s="146"/>
      <c r="G12" s="146"/>
      <c r="H12" s="147"/>
      <c r="I12" s="106"/>
    </row>
    <row r="13" spans="1:13" ht="31.5" customHeight="1" x14ac:dyDescent="0.25">
      <c r="B13" s="110" t="s">
        <v>54</v>
      </c>
      <c r="C13" s="148" t="s">
        <v>58</v>
      </c>
      <c r="D13" s="148"/>
      <c r="E13" s="148"/>
      <c r="F13" s="148"/>
      <c r="G13" s="148"/>
      <c r="H13" s="149"/>
    </row>
    <row r="15" spans="1:13" ht="15" customHeight="1" x14ac:dyDescent="0.25">
      <c r="B15" s="312" t="s">
        <v>259</v>
      </c>
      <c r="C15" s="313"/>
      <c r="D15" s="313"/>
      <c r="E15" s="313"/>
      <c r="F15" s="313"/>
      <c r="G15" s="313"/>
      <c r="H15" s="314"/>
    </row>
    <row r="16" spans="1:13" x14ac:dyDescent="0.25">
      <c r="B16" s="310"/>
      <c r="C16" s="311"/>
      <c r="D16" s="311"/>
      <c r="E16" s="311"/>
      <c r="F16" s="311"/>
      <c r="G16" s="311"/>
      <c r="H16" s="315"/>
    </row>
    <row r="17" spans="2:9" x14ac:dyDescent="0.25">
      <c r="B17" s="310"/>
      <c r="C17" s="311"/>
      <c r="D17" s="311"/>
      <c r="E17" s="311"/>
      <c r="F17" s="311"/>
      <c r="G17" s="311"/>
      <c r="H17" s="315"/>
    </row>
    <row r="18" spans="2:9" x14ac:dyDescent="0.25">
      <c r="B18" s="310"/>
      <c r="C18" s="311"/>
      <c r="D18" s="311"/>
      <c r="E18" s="311"/>
      <c r="F18" s="311"/>
      <c r="G18" s="311"/>
      <c r="H18" s="315"/>
    </row>
    <row r="19" spans="2:9" x14ac:dyDescent="0.25">
      <c r="B19" s="310"/>
      <c r="C19" s="311"/>
      <c r="D19" s="311"/>
      <c r="E19" s="311"/>
      <c r="F19" s="311"/>
      <c r="G19" s="311"/>
      <c r="H19" s="315"/>
    </row>
    <row r="20" spans="2:9" x14ac:dyDescent="0.25">
      <c r="B20" s="316"/>
      <c r="C20" s="317"/>
      <c r="D20" s="317"/>
      <c r="E20" s="317"/>
      <c r="F20" s="317"/>
      <c r="G20" s="317"/>
      <c r="H20" s="318"/>
    </row>
    <row r="22" spans="2:9" x14ac:dyDescent="0.25">
      <c r="B22" s="59" t="s">
        <v>34</v>
      </c>
    </row>
    <row r="23" spans="2:9" x14ac:dyDescent="0.25">
      <c r="B23" s="60"/>
      <c r="C23" s="143" t="s">
        <v>10</v>
      </c>
      <c r="D23" s="143"/>
      <c r="E23" s="61"/>
      <c r="F23" s="61"/>
      <c r="G23" s="61"/>
      <c r="H23" s="61"/>
      <c r="I23" s="62"/>
    </row>
    <row r="24" spans="2:9" x14ac:dyDescent="0.25">
      <c r="B24" s="63"/>
      <c r="C24" s="70" t="s">
        <v>3</v>
      </c>
      <c r="D24" s="70" t="s">
        <v>4</v>
      </c>
      <c r="E24" s="64"/>
      <c r="F24" s="64"/>
      <c r="G24" s="64"/>
      <c r="H24" s="64"/>
      <c r="I24" s="65"/>
    </row>
    <row r="25" spans="2:9" x14ac:dyDescent="0.25">
      <c r="B25" s="63" t="s">
        <v>151</v>
      </c>
      <c r="C25" s="4"/>
      <c r="D25" s="21">
        <v>0.1</v>
      </c>
      <c r="E25" s="64"/>
      <c r="F25" s="64"/>
      <c r="G25" s="64"/>
      <c r="H25" s="64"/>
      <c r="I25" s="65"/>
    </row>
    <row r="26" spans="2:9" x14ac:dyDescent="0.25">
      <c r="B26" s="63" t="s">
        <v>152</v>
      </c>
      <c r="C26" s="19">
        <v>200000</v>
      </c>
      <c r="D26" s="22">
        <v>0.08</v>
      </c>
      <c r="E26" s="64"/>
      <c r="F26" s="64"/>
      <c r="G26" s="64"/>
      <c r="H26" s="64"/>
      <c r="I26" s="65"/>
    </row>
    <row r="27" spans="2:9" x14ac:dyDescent="0.25">
      <c r="B27" s="63" t="s">
        <v>153</v>
      </c>
      <c r="C27" s="20">
        <v>500000</v>
      </c>
      <c r="D27" s="23">
        <v>0.05</v>
      </c>
      <c r="E27" s="64"/>
      <c r="F27" s="64"/>
      <c r="G27" s="64"/>
      <c r="H27" s="64"/>
      <c r="I27" s="65"/>
    </row>
    <row r="28" spans="2:9" x14ac:dyDescent="0.25">
      <c r="B28" s="63"/>
      <c r="C28" s="64"/>
      <c r="D28" s="64"/>
      <c r="E28" s="64"/>
      <c r="F28" s="64"/>
      <c r="G28" s="64"/>
      <c r="H28" s="64"/>
      <c r="I28" s="65"/>
    </row>
    <row r="29" spans="2:9" x14ac:dyDescent="0.25">
      <c r="B29" s="63"/>
      <c r="C29" s="64"/>
      <c r="D29" s="64"/>
      <c r="E29" s="64"/>
      <c r="F29" s="64"/>
      <c r="G29" s="64"/>
      <c r="H29" s="64"/>
      <c r="I29" s="65"/>
    </row>
    <row r="30" spans="2:9" x14ac:dyDescent="0.25">
      <c r="B30" s="63"/>
      <c r="C30" s="64"/>
      <c r="D30" s="64"/>
      <c r="E30" s="64"/>
      <c r="F30" s="64"/>
      <c r="G30" s="64"/>
      <c r="H30" s="64"/>
      <c r="I30" s="65"/>
    </row>
    <row r="31" spans="2:9" ht="30" x14ac:dyDescent="0.25">
      <c r="B31" s="63"/>
      <c r="C31" s="52" t="s">
        <v>213</v>
      </c>
      <c r="D31" s="53" t="s">
        <v>150</v>
      </c>
      <c r="E31" s="54" t="s">
        <v>253</v>
      </c>
      <c r="F31" s="54" t="s">
        <v>214</v>
      </c>
      <c r="G31" s="55" t="s">
        <v>14</v>
      </c>
      <c r="H31" s="64"/>
      <c r="I31" s="65"/>
    </row>
    <row r="32" spans="2:9" x14ac:dyDescent="0.25">
      <c r="B32" s="71" t="s">
        <v>59</v>
      </c>
      <c r="C32" s="37">
        <v>550000</v>
      </c>
      <c r="D32" s="32">
        <f>IF(C32&gt;C27,D27,IF(AND(C32&lt;C27,C32&gt;C26),D26,IF(AND(C32&lt;C27,C32&lt;C26),D25,"ERROR")))</f>
        <v>0.05</v>
      </c>
      <c r="E32" s="38">
        <v>110000</v>
      </c>
      <c r="F32" s="39">
        <f>E32/C32</f>
        <v>0.2</v>
      </c>
      <c r="G32" s="29">
        <f>E32-C32*D32</f>
        <v>82500</v>
      </c>
      <c r="H32" s="64"/>
      <c r="I32" s="65"/>
    </row>
    <row r="33" spans="2:9" x14ac:dyDescent="0.25">
      <c r="B33" s="71" t="s">
        <v>60</v>
      </c>
      <c r="C33" s="25">
        <v>300000</v>
      </c>
      <c r="D33" s="33">
        <f>IF(C33&gt;C27,D27,IF(AND(C33&lt;C27,C33&gt;C26),D26,IF(AND(C33&lt;C27,C33&lt;C26),D25,"ERROR")))</f>
        <v>0.08</v>
      </c>
      <c r="E33" s="27">
        <v>90000</v>
      </c>
      <c r="F33" s="35">
        <f>E33/C33</f>
        <v>0.3</v>
      </c>
      <c r="G33" s="30">
        <f t="shared" ref="G33:G34" si="0">E33-C33*D33</f>
        <v>66000</v>
      </c>
      <c r="H33" s="64"/>
      <c r="I33" s="65"/>
    </row>
    <row r="34" spans="2:9" x14ac:dyDescent="0.25">
      <c r="B34" s="71" t="s">
        <v>61</v>
      </c>
      <c r="C34" s="26">
        <v>175000</v>
      </c>
      <c r="D34" s="34">
        <f>IF(C34&gt;C27,D27,IF(AND(C34&lt;C27,C34&gt;C26),D26,IF(AND(C34&lt;C27,C34&lt;C26),D25,"ERROR")))</f>
        <v>0.1</v>
      </c>
      <c r="E34" s="28">
        <v>43750</v>
      </c>
      <c r="F34" s="36">
        <f>E34/C34</f>
        <v>0.25</v>
      </c>
      <c r="G34" s="31">
        <f t="shared" si="0"/>
        <v>26250</v>
      </c>
      <c r="H34" s="64"/>
      <c r="I34" s="65"/>
    </row>
    <row r="35" spans="2:9" x14ac:dyDescent="0.25">
      <c r="B35" s="66"/>
      <c r="C35" s="67"/>
      <c r="D35" s="67"/>
      <c r="E35" s="67"/>
      <c r="F35" s="67"/>
      <c r="G35" s="67"/>
      <c r="H35" s="67"/>
      <c r="I35" s="68"/>
    </row>
  </sheetData>
  <mergeCells count="8">
    <mergeCell ref="C23:D23"/>
    <mergeCell ref="C8:H8"/>
    <mergeCell ref="C9:H9"/>
    <mergeCell ref="C10:H10"/>
    <mergeCell ref="C13:H13"/>
    <mergeCell ref="C11:H11"/>
    <mergeCell ref="C12:H12"/>
    <mergeCell ref="B15:H20"/>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130ED683-3ED8-42DF-9557-F7792487ADD8}">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88326044-B02B-46CF-88DE-5B104E0BC474}">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632FB-F69F-43E2-A2C0-2A2E31D6C010}">
  <sheetPr>
    <tabColor theme="7" tint="0.79998168889431442"/>
  </sheetPr>
  <dimension ref="A1:M37"/>
  <sheetViews>
    <sheetView workbookViewId="0">
      <selection activeCell="C14" sqref="C14:H14"/>
    </sheetView>
  </sheetViews>
  <sheetFormatPr baseColWidth="10" defaultRowHeight="15" x14ac:dyDescent="0.25"/>
  <cols>
    <col min="1" max="1" width="11.42578125" style="1"/>
    <col min="2" max="2" width="18.28515625" style="1" customWidth="1"/>
    <col min="3" max="3" width="12.42578125" style="1" bestFit="1" customWidth="1"/>
    <col min="4" max="4" width="11.42578125" style="1"/>
    <col min="5" max="5" width="13" style="1" bestFit="1" customWidth="1"/>
    <col min="6" max="6" width="17.140625" style="1" bestFit="1" customWidth="1"/>
    <col min="7" max="7" width="14" style="1" bestFit="1" customWidth="1"/>
    <col min="8" max="16384" width="11.42578125" style="1"/>
  </cols>
  <sheetData>
    <row r="1" spans="1:13" s="2" customFormat="1" x14ac:dyDescent="0.25">
      <c r="A1" s="3" t="s">
        <v>23</v>
      </c>
      <c r="B1" s="3"/>
      <c r="C1" s="3" t="s">
        <v>155</v>
      </c>
      <c r="D1" s="3"/>
    </row>
    <row r="3" spans="1:13" x14ac:dyDescent="0.25">
      <c r="C3" s="160" t="s">
        <v>3</v>
      </c>
      <c r="D3" s="160" t="s">
        <v>4</v>
      </c>
      <c r="J3" s="10" t="s">
        <v>5</v>
      </c>
      <c r="K3" s="10"/>
      <c r="L3" s="10"/>
      <c r="M3" s="10"/>
    </row>
    <row r="4" spans="1:13" x14ac:dyDescent="0.25">
      <c r="B4" s="1" t="s">
        <v>0</v>
      </c>
      <c r="C4" s="4"/>
      <c r="D4" s="5"/>
      <c r="J4" s="12" t="s">
        <v>6</v>
      </c>
      <c r="K4" s="13" t="s">
        <v>7</v>
      </c>
      <c r="L4" s="13" t="s">
        <v>8</v>
      </c>
      <c r="M4" s="14" t="s">
        <v>9</v>
      </c>
    </row>
    <row r="5" spans="1:13" x14ac:dyDescent="0.25">
      <c r="B5" s="1" t="s">
        <v>1</v>
      </c>
      <c r="C5" s="6"/>
      <c r="D5" s="7"/>
      <c r="I5" s="1" t="s">
        <v>15</v>
      </c>
      <c r="J5" s="40">
        <v>1</v>
      </c>
      <c r="K5" s="41">
        <v>-0.01</v>
      </c>
      <c r="L5" s="41">
        <v>1</v>
      </c>
      <c r="M5" s="42">
        <v>1</v>
      </c>
    </row>
    <row r="6" spans="1:13" x14ac:dyDescent="0.25">
      <c r="B6" s="1" t="s">
        <v>2</v>
      </c>
      <c r="C6" s="6"/>
      <c r="D6" s="7"/>
      <c r="I6" s="1" t="s">
        <v>16</v>
      </c>
      <c r="J6" s="15">
        <v>1</v>
      </c>
      <c r="K6" s="16">
        <v>-0.01</v>
      </c>
      <c r="L6" s="16">
        <v>1</v>
      </c>
      <c r="M6" s="17">
        <v>1</v>
      </c>
    </row>
    <row r="7" spans="1:13" x14ac:dyDescent="0.25">
      <c r="B7" s="1" t="s">
        <v>151</v>
      </c>
      <c r="C7" s="8"/>
      <c r="D7" s="9"/>
      <c r="J7" s="166"/>
      <c r="K7" s="166"/>
      <c r="L7" s="166"/>
      <c r="M7" s="166"/>
    </row>
    <row r="9" spans="1:13" ht="15.75" customHeight="1" x14ac:dyDescent="0.25">
      <c r="B9" s="108" t="s">
        <v>51</v>
      </c>
      <c r="C9" s="144" t="s">
        <v>218</v>
      </c>
      <c r="D9" s="144"/>
      <c r="E9" s="144"/>
      <c r="F9" s="144"/>
      <c r="G9" s="144"/>
      <c r="H9" s="145"/>
    </row>
    <row r="10" spans="1:13" ht="78.75" customHeight="1" x14ac:dyDescent="0.25">
      <c r="B10" s="109" t="s">
        <v>52</v>
      </c>
      <c r="C10" s="153" t="s">
        <v>219</v>
      </c>
      <c r="D10" s="146"/>
      <c r="E10" s="146"/>
      <c r="F10" s="146"/>
      <c r="G10" s="146"/>
      <c r="H10" s="147"/>
    </row>
    <row r="11" spans="1:13" ht="32.25" customHeight="1" x14ac:dyDescent="0.25">
      <c r="B11" s="109" t="s">
        <v>53</v>
      </c>
      <c r="C11" s="146" t="s">
        <v>220</v>
      </c>
      <c r="D11" s="146"/>
      <c r="E11" s="146"/>
      <c r="F11" s="146"/>
      <c r="G11" s="146"/>
      <c r="H11" s="147"/>
    </row>
    <row r="12" spans="1:13" ht="62.25" customHeight="1" x14ac:dyDescent="0.25">
      <c r="B12" s="109" t="s">
        <v>143</v>
      </c>
      <c r="C12" s="307" t="s">
        <v>221</v>
      </c>
      <c r="D12" s="158"/>
      <c r="E12" s="158"/>
      <c r="F12" s="158"/>
      <c r="G12" s="158"/>
      <c r="H12" s="159"/>
    </row>
    <row r="13" spans="1:13" ht="30" customHeight="1" x14ac:dyDescent="0.25">
      <c r="B13" s="109" t="s">
        <v>145</v>
      </c>
      <c r="C13" s="146" t="s">
        <v>232</v>
      </c>
      <c r="D13" s="146"/>
      <c r="E13" s="146"/>
      <c r="F13" s="146"/>
      <c r="G13" s="146"/>
      <c r="H13" s="147"/>
      <c r="I13" s="106"/>
    </row>
    <row r="14" spans="1:13" ht="31.5" customHeight="1" x14ac:dyDescent="0.25">
      <c r="B14" s="110" t="s">
        <v>54</v>
      </c>
      <c r="C14" s="148" t="s">
        <v>58</v>
      </c>
      <c r="D14" s="148"/>
      <c r="E14" s="148"/>
      <c r="F14" s="148"/>
      <c r="G14" s="148"/>
      <c r="H14" s="149"/>
    </row>
    <row r="16" spans="1:13" ht="15" customHeight="1" x14ac:dyDescent="0.25">
      <c r="B16" s="312" t="s">
        <v>231</v>
      </c>
      <c r="C16" s="313"/>
      <c r="D16" s="313"/>
      <c r="E16" s="313"/>
      <c r="F16" s="313"/>
      <c r="G16" s="313"/>
      <c r="H16" s="314"/>
    </row>
    <row r="17" spans="2:8" x14ac:dyDescent="0.25">
      <c r="B17" s="310"/>
      <c r="C17" s="311"/>
      <c r="D17" s="311"/>
      <c r="E17" s="311"/>
      <c r="F17" s="311"/>
      <c r="G17" s="311"/>
      <c r="H17" s="315"/>
    </row>
    <row r="18" spans="2:8" x14ac:dyDescent="0.25">
      <c r="B18" s="310"/>
      <c r="C18" s="311"/>
      <c r="D18" s="311"/>
      <c r="E18" s="311"/>
      <c r="F18" s="311"/>
      <c r="G18" s="311"/>
      <c r="H18" s="315"/>
    </row>
    <row r="19" spans="2:8" x14ac:dyDescent="0.25">
      <c r="B19" s="310"/>
      <c r="C19" s="311"/>
      <c r="D19" s="311"/>
      <c r="E19" s="311"/>
      <c r="F19" s="311"/>
      <c r="G19" s="311"/>
      <c r="H19" s="315"/>
    </row>
    <row r="20" spans="2:8" x14ac:dyDescent="0.25">
      <c r="B20" s="310"/>
      <c r="C20" s="311"/>
      <c r="D20" s="311"/>
      <c r="E20" s="311"/>
      <c r="F20" s="311"/>
      <c r="G20" s="311"/>
      <c r="H20" s="315"/>
    </row>
    <row r="21" spans="2:8" ht="26.25" customHeight="1" x14ac:dyDescent="0.25">
      <c r="B21" s="316"/>
      <c r="C21" s="317"/>
      <c r="D21" s="317"/>
      <c r="E21" s="317"/>
      <c r="F21" s="317"/>
      <c r="G21" s="317"/>
      <c r="H21" s="318"/>
    </row>
    <row r="24" spans="2:8" x14ac:dyDescent="0.25">
      <c r="B24" s="60"/>
      <c r="C24" s="143" t="s">
        <v>10</v>
      </c>
      <c r="D24" s="143"/>
      <c r="E24" s="61"/>
      <c r="F24" s="61"/>
      <c r="G24" s="61"/>
      <c r="H24" s="62"/>
    </row>
    <row r="25" spans="2:8" x14ac:dyDescent="0.25">
      <c r="B25" s="63"/>
      <c r="C25" s="70" t="s">
        <v>3</v>
      </c>
      <c r="D25" s="70" t="s">
        <v>4</v>
      </c>
      <c r="E25" s="64"/>
      <c r="F25" s="64"/>
      <c r="G25" s="64"/>
      <c r="H25" s="65"/>
    </row>
    <row r="26" spans="2:8" x14ac:dyDescent="0.25">
      <c r="B26" s="63" t="s">
        <v>0</v>
      </c>
      <c r="C26" s="4"/>
      <c r="D26" s="21">
        <v>0.1</v>
      </c>
      <c r="E26" s="64"/>
      <c r="F26" s="64"/>
      <c r="G26" s="64"/>
      <c r="H26" s="65"/>
    </row>
    <row r="27" spans="2:8" x14ac:dyDescent="0.25">
      <c r="B27" s="63" t="s">
        <v>1</v>
      </c>
      <c r="C27" s="19">
        <v>200000</v>
      </c>
      <c r="D27" s="22">
        <v>0.08</v>
      </c>
      <c r="E27" s="64"/>
      <c r="F27" s="64"/>
      <c r="G27" s="64"/>
      <c r="H27" s="65"/>
    </row>
    <row r="28" spans="2:8" x14ac:dyDescent="0.25">
      <c r="B28" s="63" t="s">
        <v>2</v>
      </c>
      <c r="C28" s="19">
        <v>500000</v>
      </c>
      <c r="D28" s="22">
        <v>0.05</v>
      </c>
      <c r="E28" s="64"/>
      <c r="F28" s="64"/>
      <c r="G28" s="64"/>
      <c r="H28" s="65"/>
    </row>
    <row r="29" spans="2:8" x14ac:dyDescent="0.25">
      <c r="B29" s="63" t="s">
        <v>151</v>
      </c>
      <c r="C29" s="20">
        <v>750000</v>
      </c>
      <c r="D29" s="23">
        <v>2.5000000000000001E-2</v>
      </c>
      <c r="E29" s="64"/>
      <c r="F29" s="64"/>
      <c r="G29" s="64"/>
      <c r="H29" s="65"/>
    </row>
    <row r="30" spans="2:8" x14ac:dyDescent="0.25">
      <c r="B30" s="63"/>
      <c r="C30" s="64"/>
      <c r="D30" s="64"/>
      <c r="E30" s="64"/>
      <c r="F30" s="64"/>
      <c r="G30" s="64"/>
      <c r="H30" s="65"/>
    </row>
    <row r="31" spans="2:8" x14ac:dyDescent="0.25">
      <c r="B31" s="63"/>
      <c r="C31" s="64"/>
      <c r="D31" s="64"/>
      <c r="E31" s="64"/>
      <c r="F31" s="64"/>
      <c r="G31" s="64"/>
      <c r="H31" s="65"/>
    </row>
    <row r="32" spans="2:8" ht="30" x14ac:dyDescent="0.25">
      <c r="B32" s="63"/>
      <c r="C32" s="52" t="s">
        <v>213</v>
      </c>
      <c r="D32" s="53" t="s">
        <v>150</v>
      </c>
      <c r="E32" s="328" t="s">
        <v>253</v>
      </c>
      <c r="F32" s="54" t="s">
        <v>214</v>
      </c>
      <c r="G32" s="55" t="s">
        <v>14</v>
      </c>
      <c r="H32" s="65"/>
    </row>
    <row r="33" spans="2:8" x14ac:dyDescent="0.25">
      <c r="B33" s="71" t="s">
        <v>34</v>
      </c>
      <c r="C33" s="37">
        <v>175000</v>
      </c>
      <c r="D33" s="32">
        <f>IF(C33&gt;C29,D29,IF(C33&gt;C28,(C27*D26+(C28-C27)*D27+(C33-C28)*D28)/C33,IF(AND(C33&lt;C28,C33&gt;C27),(C27*D26+(C33-C27)*D27)/C33,IF(AND(C33&lt;C28,C33&lt;C27),D26,"ERROR"))))</f>
        <v>0.1</v>
      </c>
      <c r="E33" s="38">
        <v>110000</v>
      </c>
      <c r="F33" s="39">
        <f>E33/C33</f>
        <v>0.62857142857142856</v>
      </c>
      <c r="G33" s="29">
        <f>E33-C33*D33</f>
        <v>92500</v>
      </c>
      <c r="H33" s="65"/>
    </row>
    <row r="34" spans="2:8" x14ac:dyDescent="0.25">
      <c r="B34" s="71" t="s">
        <v>36</v>
      </c>
      <c r="C34" s="25">
        <v>300000</v>
      </c>
      <c r="D34" s="33">
        <f>IF(C34&gt;C29,D29,IF(C34&gt;C28,(C27*D26+(C28-C27)*D27+(C34-C28)*D28)/C34,IF(AND(C34&lt;C28,C34&gt;C27),(C27*D26+(C34-C27)*D27)/C34,IF(AND(C34&lt;C28,C34&lt;C27),D26,"ERROR"))))</f>
        <v>9.3333333333333338E-2</v>
      </c>
      <c r="E34" s="27">
        <v>90000</v>
      </c>
      <c r="F34" s="35">
        <f>E34/C34</f>
        <v>0.3</v>
      </c>
      <c r="G34" s="30">
        <f t="shared" ref="G34:G36" si="0">E34-C34*D34</f>
        <v>62000</v>
      </c>
      <c r="H34" s="65"/>
    </row>
    <row r="35" spans="2:8" x14ac:dyDescent="0.25">
      <c r="B35" s="71" t="s">
        <v>37</v>
      </c>
      <c r="C35" s="25">
        <v>525000</v>
      </c>
      <c r="D35" s="33">
        <f>IF(C35&gt;C29,D29,IF(C35&gt;C28,(C27*D26+(C28-C27)*D27+(C35-C28)*D28)/C35,IF(AND(C35&lt;C28,C35&gt;C27),(C27*D26+(C35-C27)*D27)/C35,IF(AND(C35&lt;C28,C35&lt;C27),D26,"ERROR"))))</f>
        <v>8.6190476190476192E-2</v>
      </c>
      <c r="E35" s="27">
        <v>43750</v>
      </c>
      <c r="F35" s="35">
        <f>E35/C35</f>
        <v>8.3333333333333329E-2</v>
      </c>
      <c r="G35" s="30">
        <f t="shared" si="0"/>
        <v>-1500</v>
      </c>
      <c r="H35" s="65"/>
    </row>
    <row r="36" spans="2:8" x14ac:dyDescent="0.25">
      <c r="B36" s="71" t="s">
        <v>154</v>
      </c>
      <c r="C36" s="26">
        <v>800000</v>
      </c>
      <c r="D36" s="34">
        <f>IF(C36&gt;C29,D29,IF(C36&gt;C28,(C27*D26+(C28-C27)*D27+(C36-C28)*D28)/C36,IF(AND(C36&lt;C28,C36&gt;C27),(C27*D26+(C36-C27)*D27)/C36,IF(AND(C36&lt;C28,C36&lt;C27),D26,"ERROR"))))</f>
        <v>2.5000000000000001E-2</v>
      </c>
      <c r="E36" s="28">
        <v>66666.666666666657</v>
      </c>
      <c r="F36" s="36">
        <f>E36/C36</f>
        <v>8.3333333333333315E-2</v>
      </c>
      <c r="G36" s="31">
        <f>E36-C36*D36</f>
        <v>46666.666666666657</v>
      </c>
      <c r="H36" s="65"/>
    </row>
    <row r="37" spans="2:8" x14ac:dyDescent="0.25">
      <c r="B37" s="66"/>
      <c r="C37" s="67"/>
      <c r="D37" s="67"/>
      <c r="E37" s="67"/>
      <c r="F37" s="67"/>
      <c r="G37" s="67"/>
      <c r="H37" s="68"/>
    </row>
  </sheetData>
  <mergeCells count="8">
    <mergeCell ref="C24:D24"/>
    <mergeCell ref="B16:H21"/>
    <mergeCell ref="C9:H9"/>
    <mergeCell ref="C10:H10"/>
    <mergeCell ref="C11:H11"/>
    <mergeCell ref="C12:H12"/>
    <mergeCell ref="C13:H13"/>
    <mergeCell ref="C14:H14"/>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B906D4AE-4246-4601-9B80-98133AC2B404}">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904D681B-E444-431E-8E27-5A45234F5CE5}">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70747-DA5E-4FC3-8EAC-17300E495E5D}">
  <sheetPr>
    <tabColor theme="7" tint="0.79998168889431442"/>
  </sheetPr>
  <dimension ref="A1:M61"/>
  <sheetViews>
    <sheetView workbookViewId="0">
      <selection activeCell="C13" sqref="C13:H13"/>
    </sheetView>
  </sheetViews>
  <sheetFormatPr baseColWidth="10" defaultRowHeight="15" x14ac:dyDescent="0.25"/>
  <cols>
    <col min="1" max="1" width="11.42578125" style="1"/>
    <col min="2" max="2" width="19.5703125" style="1" bestFit="1" customWidth="1"/>
    <col min="3" max="4" width="11.42578125" style="1"/>
    <col min="5" max="5" width="13" style="1" bestFit="1" customWidth="1"/>
    <col min="6" max="6" width="17.140625" style="1" bestFit="1" customWidth="1"/>
    <col min="7" max="7" width="14" style="1" bestFit="1" customWidth="1"/>
    <col min="8" max="9" width="12" style="1" bestFit="1" customWidth="1"/>
    <col min="10" max="12" width="11.42578125" style="1"/>
    <col min="13" max="13" width="12.5703125" style="1" bestFit="1" customWidth="1"/>
    <col min="14" max="16384" width="11.42578125" style="1"/>
  </cols>
  <sheetData>
    <row r="1" spans="1:13" s="2" customFormat="1" x14ac:dyDescent="0.25">
      <c r="A1" s="3" t="s">
        <v>23</v>
      </c>
      <c r="B1" s="3"/>
      <c r="C1" s="3" t="s">
        <v>27</v>
      </c>
      <c r="D1" s="3"/>
      <c r="E1" s="137" t="s">
        <v>125</v>
      </c>
    </row>
    <row r="3" spans="1:13" ht="30" x14ac:dyDescent="0.25">
      <c r="C3" s="45" t="s">
        <v>30</v>
      </c>
      <c r="D3" s="45" t="s">
        <v>31</v>
      </c>
      <c r="J3" s="10" t="s">
        <v>5</v>
      </c>
      <c r="K3" s="10"/>
      <c r="L3" s="10"/>
      <c r="M3" s="10"/>
    </row>
    <row r="4" spans="1:13" x14ac:dyDescent="0.25">
      <c r="B4" s="1" t="s">
        <v>28</v>
      </c>
      <c r="C4" s="46" t="s">
        <v>32</v>
      </c>
      <c r="D4" s="46" t="s">
        <v>32</v>
      </c>
      <c r="J4" s="12" t="s">
        <v>6</v>
      </c>
      <c r="K4" s="13" t="s">
        <v>7</v>
      </c>
      <c r="L4" s="13" t="s">
        <v>8</v>
      </c>
      <c r="M4" s="14" t="s">
        <v>9</v>
      </c>
    </row>
    <row r="5" spans="1:13" x14ac:dyDescent="0.25">
      <c r="B5" s="1" t="s">
        <v>29</v>
      </c>
      <c r="C5" s="47" t="s">
        <v>33</v>
      </c>
      <c r="D5" s="47" t="s">
        <v>33</v>
      </c>
      <c r="I5" s="1" t="s">
        <v>15</v>
      </c>
      <c r="J5" s="40">
        <v>1</v>
      </c>
      <c r="K5" s="41">
        <v>-0.01</v>
      </c>
      <c r="L5" s="41">
        <v>1</v>
      </c>
      <c r="M5" s="42">
        <v>1</v>
      </c>
    </row>
    <row r="6" spans="1:13" x14ac:dyDescent="0.25">
      <c r="I6" s="1" t="s">
        <v>16</v>
      </c>
      <c r="J6" s="15">
        <v>1</v>
      </c>
      <c r="K6" s="16">
        <v>-0.01</v>
      </c>
      <c r="L6" s="16">
        <v>1</v>
      </c>
      <c r="M6" s="17">
        <v>1</v>
      </c>
    </row>
    <row r="8" spans="1:13" s="161" customFormat="1" x14ac:dyDescent="0.25">
      <c r="B8" s="108" t="s">
        <v>51</v>
      </c>
      <c r="C8" s="144" t="s">
        <v>226</v>
      </c>
      <c r="D8" s="144"/>
      <c r="E8" s="144"/>
      <c r="F8" s="144"/>
      <c r="G8" s="144"/>
      <c r="H8" s="145"/>
    </row>
    <row r="9" spans="1:13" s="161" customFormat="1" ht="29.25" customHeight="1" x14ac:dyDescent="0.25">
      <c r="B9" s="109" t="s">
        <v>52</v>
      </c>
      <c r="C9" s="153" t="s">
        <v>227</v>
      </c>
      <c r="D9" s="146"/>
      <c r="E9" s="146"/>
      <c r="F9" s="146"/>
      <c r="G9" s="146"/>
      <c r="H9" s="147"/>
    </row>
    <row r="10" spans="1:13" s="161" customFormat="1" x14ac:dyDescent="0.25">
      <c r="B10" s="109" t="s">
        <v>53</v>
      </c>
      <c r="C10" s="146" t="s">
        <v>228</v>
      </c>
      <c r="D10" s="146"/>
      <c r="E10" s="146"/>
      <c r="F10" s="146"/>
      <c r="G10" s="146"/>
      <c r="H10" s="147"/>
    </row>
    <row r="11" spans="1:13" s="161" customFormat="1" ht="60.75" customHeight="1" x14ac:dyDescent="0.25">
      <c r="B11" s="109" t="s">
        <v>143</v>
      </c>
      <c r="C11" s="307" t="s">
        <v>222</v>
      </c>
      <c r="D11" s="158"/>
      <c r="E11" s="158"/>
      <c r="F11" s="158"/>
      <c r="G11" s="158"/>
      <c r="H11" s="159"/>
    </row>
    <row r="12" spans="1:13" s="161" customFormat="1" ht="29.25" customHeight="1" x14ac:dyDescent="0.25">
      <c r="B12" s="109" t="s">
        <v>145</v>
      </c>
      <c r="C12" s="146" t="s">
        <v>232</v>
      </c>
      <c r="D12" s="146"/>
      <c r="E12" s="146"/>
      <c r="F12" s="146"/>
      <c r="G12" s="146"/>
      <c r="H12" s="147"/>
    </row>
    <row r="13" spans="1:13" s="161" customFormat="1" ht="15" customHeight="1" x14ac:dyDescent="0.25">
      <c r="B13" s="110" t="s">
        <v>54</v>
      </c>
      <c r="C13" s="148" t="s">
        <v>58</v>
      </c>
      <c r="D13" s="148"/>
      <c r="E13" s="148"/>
      <c r="F13" s="148"/>
      <c r="G13" s="148"/>
      <c r="H13" s="149"/>
    </row>
    <row r="15" spans="1:13" ht="15" customHeight="1" x14ac:dyDescent="0.25">
      <c r="B15" s="312" t="s">
        <v>260</v>
      </c>
      <c r="C15" s="313"/>
      <c r="D15" s="313"/>
      <c r="E15" s="313"/>
      <c r="F15" s="313"/>
      <c r="G15" s="313"/>
      <c r="H15" s="314"/>
    </row>
    <row r="16" spans="1:13" x14ac:dyDescent="0.25">
      <c r="B16" s="310"/>
      <c r="C16" s="311"/>
      <c r="D16" s="311"/>
      <c r="E16" s="311"/>
      <c r="F16" s="311"/>
      <c r="G16" s="311"/>
      <c r="H16" s="315"/>
    </row>
    <row r="17" spans="2:11" x14ac:dyDescent="0.25">
      <c r="B17" s="310"/>
      <c r="C17" s="311"/>
      <c r="D17" s="311"/>
      <c r="E17" s="311"/>
      <c r="F17" s="311"/>
      <c r="G17" s="311"/>
      <c r="H17" s="315"/>
    </row>
    <row r="18" spans="2:11" x14ac:dyDescent="0.25">
      <c r="B18" s="310"/>
      <c r="C18" s="311"/>
      <c r="D18" s="311"/>
      <c r="E18" s="311"/>
      <c r="F18" s="311"/>
      <c r="G18" s="311"/>
      <c r="H18" s="315"/>
    </row>
    <row r="19" spans="2:11" x14ac:dyDescent="0.25">
      <c r="B19" s="310"/>
      <c r="C19" s="311"/>
      <c r="D19" s="311"/>
      <c r="E19" s="311"/>
      <c r="F19" s="311"/>
      <c r="G19" s="311"/>
      <c r="H19" s="315"/>
    </row>
    <row r="20" spans="2:11" x14ac:dyDescent="0.25">
      <c r="B20" s="316"/>
      <c r="C20" s="317"/>
      <c r="D20" s="317"/>
      <c r="E20" s="317"/>
      <c r="F20" s="317"/>
      <c r="G20" s="317"/>
      <c r="H20" s="318"/>
    </row>
    <row r="23" spans="2:11" x14ac:dyDescent="0.25">
      <c r="B23" s="59" t="s">
        <v>34</v>
      </c>
    </row>
    <row r="24" spans="2:11" x14ac:dyDescent="0.25">
      <c r="B24" s="60"/>
      <c r="C24" s="143" t="s">
        <v>10</v>
      </c>
      <c r="D24" s="143"/>
      <c r="E24" s="61"/>
      <c r="F24" s="61"/>
      <c r="G24" s="61"/>
      <c r="H24" s="61"/>
      <c r="I24" s="61"/>
      <c r="J24" s="62"/>
    </row>
    <row r="25" spans="2:11" ht="30" x14ac:dyDescent="0.25">
      <c r="B25" s="63" t="s">
        <v>9</v>
      </c>
      <c r="C25" s="45" t="s">
        <v>30</v>
      </c>
      <c r="D25" s="45" t="s">
        <v>31</v>
      </c>
      <c r="E25" s="64"/>
      <c r="F25" s="64"/>
      <c r="G25" s="64"/>
      <c r="H25" s="64"/>
      <c r="I25" s="64"/>
      <c r="J25" s="65"/>
    </row>
    <row r="26" spans="2:11" x14ac:dyDescent="0.25">
      <c r="B26" s="63" t="s">
        <v>28</v>
      </c>
      <c r="C26" s="48">
        <v>0.1</v>
      </c>
      <c r="D26" s="48">
        <v>0.1</v>
      </c>
      <c r="E26" s="64"/>
      <c r="F26" s="64"/>
      <c r="G26" s="64"/>
      <c r="H26" s="64"/>
      <c r="I26" s="64"/>
      <c r="J26" s="65"/>
    </row>
    <row r="27" spans="2:11" x14ac:dyDescent="0.25">
      <c r="B27" s="63" t="s">
        <v>29</v>
      </c>
      <c r="C27" s="49">
        <v>0.05</v>
      </c>
      <c r="D27" s="49">
        <v>0.05</v>
      </c>
      <c r="E27" s="64"/>
      <c r="F27" s="64"/>
      <c r="G27" s="64"/>
      <c r="H27" s="64"/>
      <c r="I27" s="64"/>
      <c r="J27" s="65"/>
    </row>
    <row r="28" spans="2:11" x14ac:dyDescent="0.25">
      <c r="B28" s="63"/>
      <c r="C28" s="64"/>
      <c r="D28" s="64"/>
      <c r="E28" s="64"/>
      <c r="F28" s="64"/>
      <c r="G28" s="64"/>
      <c r="H28" s="64"/>
      <c r="I28" s="64"/>
      <c r="J28" s="65"/>
    </row>
    <row r="29" spans="2:11" x14ac:dyDescent="0.25">
      <c r="B29" s="63"/>
      <c r="C29" s="64"/>
      <c r="D29" s="64"/>
      <c r="E29" s="64"/>
      <c r="F29" s="64"/>
      <c r="G29" s="64"/>
      <c r="H29" s="64"/>
      <c r="I29" s="64"/>
      <c r="J29" s="65"/>
    </row>
    <row r="30" spans="2:11" x14ac:dyDescent="0.25">
      <c r="B30" s="63"/>
      <c r="C30" s="64" t="s">
        <v>35</v>
      </c>
      <c r="D30" s="64"/>
      <c r="E30" s="64"/>
      <c r="F30" s="64"/>
      <c r="G30" s="64"/>
      <c r="H30" s="64"/>
      <c r="I30" s="64"/>
      <c r="J30" s="65"/>
      <c r="K30" s="24"/>
    </row>
    <row r="31" spans="2:11" ht="42.75" customHeight="1" x14ac:dyDescent="0.25">
      <c r="B31" s="320" t="s">
        <v>233</v>
      </c>
      <c r="C31" s="52" t="s">
        <v>213</v>
      </c>
      <c r="D31" s="163" t="s">
        <v>148</v>
      </c>
      <c r="E31" s="163" t="s">
        <v>149</v>
      </c>
      <c r="F31" s="163" t="s">
        <v>150</v>
      </c>
      <c r="G31" s="116" t="s">
        <v>253</v>
      </c>
      <c r="H31" s="164" t="s">
        <v>147</v>
      </c>
      <c r="I31" s="165" t="s">
        <v>14</v>
      </c>
      <c r="J31" s="65"/>
    </row>
    <row r="32" spans="2:11" x14ac:dyDescent="0.25">
      <c r="B32" s="63" t="s">
        <v>18</v>
      </c>
      <c r="C32" s="37">
        <v>250000</v>
      </c>
      <c r="D32" s="50">
        <f>IF(C32&gt;C33,C33,C32)</f>
        <v>175000</v>
      </c>
      <c r="E32" s="50">
        <f>IF(C32&gt;C33,C32-D32)</f>
        <v>75000</v>
      </c>
      <c r="F32" s="32">
        <f>(D32*C26+C27*E32)/C32</f>
        <v>8.5000000000000006E-2</v>
      </c>
      <c r="G32" s="38">
        <v>37500</v>
      </c>
      <c r="H32" s="39">
        <f>G32/C32</f>
        <v>0.15</v>
      </c>
      <c r="I32" s="29">
        <f>G32-C32*F32</f>
        <v>16250</v>
      </c>
      <c r="J32" s="65"/>
    </row>
    <row r="33" spans="2:10" x14ac:dyDescent="0.25">
      <c r="B33" s="63" t="s">
        <v>19</v>
      </c>
      <c r="C33" s="26">
        <v>175000</v>
      </c>
      <c r="D33" s="56">
        <f>IF(C33&gt;C32,C32,C33)</f>
        <v>175000</v>
      </c>
      <c r="E33" s="56">
        <f>IF(C33&gt;C32,C33-C32,0)</f>
        <v>0</v>
      </c>
      <c r="F33" s="34">
        <f>(D33*D26+D27*E33)/C33</f>
        <v>0.1</v>
      </c>
      <c r="G33" s="28">
        <v>35000</v>
      </c>
      <c r="H33" s="57">
        <f>G33/C33</f>
        <v>0.2</v>
      </c>
      <c r="I33" s="58">
        <f>G33-C33*F33</f>
        <v>17500</v>
      </c>
      <c r="J33" s="65"/>
    </row>
    <row r="34" spans="2:10" x14ac:dyDescent="0.25">
      <c r="B34" s="66"/>
      <c r="C34" s="67"/>
      <c r="D34" s="67"/>
      <c r="E34" s="67"/>
      <c r="F34" s="67"/>
      <c r="G34" s="67"/>
      <c r="H34" s="67"/>
      <c r="I34" s="67"/>
      <c r="J34" s="68"/>
    </row>
    <row r="36" spans="2:10" x14ac:dyDescent="0.25">
      <c r="B36" s="59" t="s">
        <v>36</v>
      </c>
    </row>
    <row r="37" spans="2:10" x14ac:dyDescent="0.25">
      <c r="B37" s="60"/>
      <c r="C37" s="143" t="s">
        <v>10</v>
      </c>
      <c r="D37" s="143"/>
      <c r="E37" s="61"/>
      <c r="F37" s="61"/>
      <c r="G37" s="61"/>
      <c r="H37" s="61"/>
      <c r="I37" s="61"/>
      <c r="J37" s="62"/>
    </row>
    <row r="38" spans="2:10" ht="30" x14ac:dyDescent="0.25">
      <c r="B38" s="63"/>
      <c r="C38" s="45" t="s">
        <v>30</v>
      </c>
      <c r="D38" s="45" t="s">
        <v>31</v>
      </c>
      <c r="E38" s="64"/>
      <c r="F38" s="64"/>
      <c r="G38" s="64"/>
      <c r="H38" s="64"/>
      <c r="I38" s="64"/>
      <c r="J38" s="65"/>
    </row>
    <row r="39" spans="2:10" x14ac:dyDescent="0.25">
      <c r="B39" s="63" t="s">
        <v>28</v>
      </c>
      <c r="C39" s="48">
        <v>0.125</v>
      </c>
      <c r="D39" s="48">
        <v>0.15</v>
      </c>
      <c r="E39" s="64"/>
      <c r="F39" s="64"/>
      <c r="G39" s="64"/>
      <c r="H39" s="64"/>
      <c r="I39" s="64"/>
      <c r="J39" s="65"/>
    </row>
    <row r="40" spans="2:10" x14ac:dyDescent="0.25">
      <c r="B40" s="63" t="s">
        <v>29</v>
      </c>
      <c r="C40" s="49">
        <v>0.05</v>
      </c>
      <c r="D40" s="49">
        <v>7.4999999999999997E-2</v>
      </c>
      <c r="E40" s="64"/>
      <c r="F40" s="64"/>
      <c r="G40" s="64"/>
      <c r="H40" s="64"/>
      <c r="I40" s="64"/>
      <c r="J40" s="65"/>
    </row>
    <row r="41" spans="2:10" x14ac:dyDescent="0.25">
      <c r="B41" s="63"/>
      <c r="C41" s="64"/>
      <c r="D41" s="64"/>
      <c r="E41" s="64"/>
      <c r="F41" s="64"/>
      <c r="G41" s="64"/>
      <c r="H41" s="64"/>
      <c r="I41" s="64"/>
      <c r="J41" s="65"/>
    </row>
    <row r="42" spans="2:10" x14ac:dyDescent="0.25">
      <c r="B42" s="63"/>
      <c r="C42" s="64"/>
      <c r="D42" s="64"/>
      <c r="E42" s="64"/>
      <c r="F42" s="64"/>
      <c r="G42" s="64"/>
      <c r="H42" s="64"/>
      <c r="I42" s="64"/>
      <c r="J42" s="65"/>
    </row>
    <row r="43" spans="2:10" x14ac:dyDescent="0.25">
      <c r="B43" s="63"/>
      <c r="C43" s="64" t="s">
        <v>35</v>
      </c>
      <c r="D43" s="64"/>
      <c r="E43" s="64"/>
      <c r="F43" s="64"/>
      <c r="G43" s="64"/>
      <c r="H43" s="64"/>
      <c r="I43" s="64"/>
      <c r="J43" s="65"/>
    </row>
    <row r="44" spans="2:10" ht="36" x14ac:dyDescent="0.25">
      <c r="B44" s="320" t="s">
        <v>234</v>
      </c>
      <c r="C44" s="52" t="s">
        <v>213</v>
      </c>
      <c r="D44" s="163" t="s">
        <v>148</v>
      </c>
      <c r="E44" s="163" t="s">
        <v>149</v>
      </c>
      <c r="F44" s="163" t="s">
        <v>150</v>
      </c>
      <c r="G44" s="116" t="s">
        <v>253</v>
      </c>
      <c r="H44" s="164" t="s">
        <v>147</v>
      </c>
      <c r="I44" s="165" t="s">
        <v>14</v>
      </c>
      <c r="J44" s="65"/>
    </row>
    <row r="45" spans="2:10" x14ac:dyDescent="0.25">
      <c r="B45" s="63" t="s">
        <v>18</v>
      </c>
      <c r="C45" s="74">
        <v>325000</v>
      </c>
      <c r="D45" s="76">
        <f>IF(C45&gt;C46,C46,C45)</f>
        <v>175000</v>
      </c>
      <c r="E45" s="76">
        <f>IF(C45&gt;C46,C45-D45)</f>
        <v>150000</v>
      </c>
      <c r="F45" s="32">
        <f>(D45*C39+C40*E45)/C45</f>
        <v>9.0384615384615383E-2</v>
      </c>
      <c r="G45" s="38">
        <v>37500</v>
      </c>
      <c r="H45" s="39">
        <f>G45/C45</f>
        <v>0.11538461538461539</v>
      </c>
      <c r="I45" s="29">
        <f>G45-C45*F45</f>
        <v>8125</v>
      </c>
      <c r="J45" s="65"/>
    </row>
    <row r="46" spans="2:10" x14ac:dyDescent="0.25">
      <c r="B46" s="63" t="s">
        <v>19</v>
      </c>
      <c r="C46" s="75">
        <v>175000</v>
      </c>
      <c r="D46" s="77">
        <f>IF(C46&gt;C45,C45,C46)</f>
        <v>175000</v>
      </c>
      <c r="E46" s="77">
        <f>IF(C46&gt;C45,C46-C45,0)</f>
        <v>0</v>
      </c>
      <c r="F46" s="34">
        <f>(D46*D39+D40*E46)/C46</f>
        <v>0.15</v>
      </c>
      <c r="G46" s="28">
        <v>35000</v>
      </c>
      <c r="H46" s="57">
        <f>G46/C46</f>
        <v>0.2</v>
      </c>
      <c r="I46" s="58">
        <f>G46-C46*F46</f>
        <v>8750</v>
      </c>
      <c r="J46" s="65"/>
    </row>
    <row r="47" spans="2:10" x14ac:dyDescent="0.25">
      <c r="B47" s="66"/>
      <c r="C47" s="67"/>
      <c r="D47" s="67"/>
      <c r="E47" s="67"/>
      <c r="F47" s="67"/>
      <c r="G47" s="67"/>
      <c r="H47" s="67"/>
      <c r="I47" s="67"/>
      <c r="J47" s="68"/>
    </row>
    <row r="49" spans="2:13" x14ac:dyDescent="0.25">
      <c r="B49" s="59" t="s">
        <v>37</v>
      </c>
    </row>
    <row r="50" spans="2:13" x14ac:dyDescent="0.25">
      <c r="B50" s="60"/>
      <c r="C50" s="143" t="s">
        <v>10</v>
      </c>
      <c r="D50" s="143"/>
      <c r="E50" s="61"/>
      <c r="F50" s="61"/>
      <c r="G50" s="61"/>
      <c r="H50" s="61"/>
      <c r="I50" s="61"/>
      <c r="J50" s="61"/>
      <c r="K50" s="61"/>
      <c r="L50" s="61"/>
      <c r="M50" s="62"/>
    </row>
    <row r="51" spans="2:13" ht="30" x14ac:dyDescent="0.25">
      <c r="B51" s="63" t="s">
        <v>6</v>
      </c>
      <c r="C51" s="45" t="s">
        <v>30</v>
      </c>
      <c r="D51" s="45" t="s">
        <v>31</v>
      </c>
      <c r="E51" s="64"/>
      <c r="F51" s="64"/>
      <c r="G51" s="64"/>
      <c r="H51" s="64"/>
      <c r="I51" s="64"/>
      <c r="J51" s="64"/>
      <c r="K51" s="64"/>
      <c r="L51" s="64"/>
      <c r="M51" s="65"/>
    </row>
    <row r="52" spans="2:13" x14ac:dyDescent="0.25">
      <c r="B52" s="63" t="s">
        <v>28</v>
      </c>
      <c r="C52" s="48">
        <v>0.1</v>
      </c>
      <c r="D52" s="48">
        <v>0.15</v>
      </c>
      <c r="E52" s="64"/>
      <c r="F52" s="64"/>
      <c r="G52" s="64"/>
      <c r="H52" s="64"/>
      <c r="I52" s="64"/>
      <c r="J52" s="64"/>
      <c r="K52" s="64"/>
      <c r="L52" s="64"/>
      <c r="M52" s="65"/>
    </row>
    <row r="53" spans="2:13" x14ac:dyDescent="0.25">
      <c r="B53" s="63" t="s">
        <v>29</v>
      </c>
      <c r="C53" s="118">
        <v>0.05</v>
      </c>
      <c r="D53" s="118">
        <v>7.4999999999999997E-2</v>
      </c>
      <c r="E53" s="64"/>
      <c r="F53" s="64"/>
      <c r="G53" s="64"/>
      <c r="H53" s="64"/>
      <c r="I53" s="64"/>
      <c r="J53" s="64"/>
      <c r="K53" s="64"/>
      <c r="L53" s="64"/>
      <c r="M53" s="65"/>
    </row>
    <row r="54" spans="2:13" x14ac:dyDescent="0.25">
      <c r="B54" s="63" t="s">
        <v>237</v>
      </c>
      <c r="C54" s="107" t="s">
        <v>66</v>
      </c>
      <c r="D54" s="119" t="s">
        <v>63</v>
      </c>
      <c r="E54" s="112" t="s">
        <v>64</v>
      </c>
      <c r="F54" s="64"/>
      <c r="G54" s="64"/>
      <c r="H54" s="64"/>
      <c r="I54" s="64"/>
      <c r="J54" s="64"/>
      <c r="K54" s="64"/>
      <c r="L54" s="64"/>
      <c r="M54" s="65"/>
    </row>
    <row r="55" spans="2:13" x14ac:dyDescent="0.25">
      <c r="B55" s="63"/>
      <c r="C55" s="64"/>
      <c r="D55" s="64"/>
      <c r="E55" s="113" t="s">
        <v>65</v>
      </c>
      <c r="F55" s="64"/>
      <c r="G55" s="64"/>
      <c r="H55" s="64"/>
      <c r="I55" s="64"/>
      <c r="J55" s="64"/>
      <c r="K55" s="64"/>
      <c r="L55" s="64"/>
      <c r="M55" s="65"/>
    </row>
    <row r="56" spans="2:13" x14ac:dyDescent="0.25">
      <c r="B56" s="63"/>
      <c r="C56" s="64"/>
      <c r="D56" s="64"/>
      <c r="E56" s="64"/>
      <c r="F56" s="64"/>
      <c r="G56" s="64"/>
      <c r="H56" s="64"/>
      <c r="I56" s="64"/>
      <c r="J56" s="64"/>
      <c r="K56" s="64"/>
      <c r="L56" s="64"/>
      <c r="M56" s="65"/>
    </row>
    <row r="57" spans="2:13" x14ac:dyDescent="0.25">
      <c r="B57" s="63"/>
      <c r="C57" s="64" t="s">
        <v>35</v>
      </c>
      <c r="D57" s="64"/>
      <c r="E57" s="64"/>
      <c r="F57" s="64"/>
      <c r="G57" s="64"/>
      <c r="H57" s="64"/>
      <c r="I57" s="64"/>
      <c r="J57" s="64"/>
      <c r="K57" s="64"/>
      <c r="L57" s="64"/>
      <c r="M57" s="65"/>
    </row>
    <row r="58" spans="2:13" ht="58.5" customHeight="1" x14ac:dyDescent="0.25">
      <c r="B58" s="63" t="s">
        <v>6</v>
      </c>
      <c r="C58" s="52" t="s">
        <v>213</v>
      </c>
      <c r="D58" s="115" t="s">
        <v>238</v>
      </c>
      <c r="E58" s="115" t="s">
        <v>235</v>
      </c>
      <c r="F58" s="115" t="s">
        <v>236</v>
      </c>
      <c r="G58" s="115" t="s">
        <v>150</v>
      </c>
      <c r="H58" s="327" t="s">
        <v>254</v>
      </c>
      <c r="I58" s="116" t="s">
        <v>239</v>
      </c>
      <c r="J58" s="116" t="s">
        <v>241</v>
      </c>
      <c r="K58" s="116" t="s">
        <v>240</v>
      </c>
      <c r="L58" s="116" t="s">
        <v>242</v>
      </c>
      <c r="M58" s="117" t="s">
        <v>14</v>
      </c>
    </row>
    <row r="59" spans="2:13" x14ac:dyDescent="0.25">
      <c r="B59" s="63" t="s">
        <v>18</v>
      </c>
      <c r="C59" s="74">
        <v>247500</v>
      </c>
      <c r="D59" s="74">
        <v>2500</v>
      </c>
      <c r="E59" s="76">
        <f>IF((C59-D59)&gt;(C60-D60),(C60-D60),(C59-D59))</f>
        <v>169750</v>
      </c>
      <c r="F59" s="76">
        <f>IF((C59-D59)&gt;(C60-D60),(C59-D59-E59),0)</f>
        <v>75250</v>
      </c>
      <c r="G59" s="32">
        <f>(E59*C52+C53*F59)/(E59+F59)</f>
        <v>8.4642857142857145E-2</v>
      </c>
      <c r="H59" s="38">
        <v>37500</v>
      </c>
      <c r="I59" s="38">
        <v>5350</v>
      </c>
      <c r="J59" s="39">
        <f>H59/C59</f>
        <v>0.15151515151515152</v>
      </c>
      <c r="K59" s="39">
        <f>I59/D59</f>
        <v>2.14</v>
      </c>
      <c r="L59" s="39">
        <f>(H59+I59)/C59</f>
        <v>0.17313131313131314</v>
      </c>
      <c r="M59" s="29">
        <f>H59-E59*G59</f>
        <v>23131.875</v>
      </c>
    </row>
    <row r="60" spans="2:13" x14ac:dyDescent="0.25">
      <c r="B60" s="63" t="s">
        <v>19</v>
      </c>
      <c r="C60" s="75">
        <v>172375</v>
      </c>
      <c r="D60" s="75">
        <v>2625</v>
      </c>
      <c r="E60" s="77">
        <f>IF((C59-D59)&gt;(C60-D60),(C60-D60),(C59-D59))</f>
        <v>169750</v>
      </c>
      <c r="F60" s="77">
        <f>IF((C60-D60)&gt;(C59-D60),C60-D60-E60,0)</f>
        <v>0</v>
      </c>
      <c r="G60" s="34">
        <f>(E60*D52+D53*F60)/(E60+F60)</f>
        <v>0.15</v>
      </c>
      <c r="H60" s="28">
        <v>35000</v>
      </c>
      <c r="I60" s="28">
        <v>9187.5</v>
      </c>
      <c r="J60" s="57">
        <f>H60/C60</f>
        <v>0.20304568527918782</v>
      </c>
      <c r="K60" s="57">
        <f>I60/D60</f>
        <v>3.5</v>
      </c>
      <c r="L60" s="57">
        <f>(H60+I60)/C60</f>
        <v>0.25634517766497461</v>
      </c>
      <c r="M60" s="58">
        <f>H60-E60*G60</f>
        <v>9537.5</v>
      </c>
    </row>
    <row r="61" spans="2:13" x14ac:dyDescent="0.25">
      <c r="B61" s="66"/>
      <c r="C61" s="67"/>
      <c r="D61" s="67"/>
      <c r="E61" s="67"/>
      <c r="F61" s="67"/>
      <c r="G61" s="67"/>
      <c r="H61" s="67"/>
      <c r="I61" s="67"/>
      <c r="J61" s="67"/>
      <c r="K61" s="67"/>
      <c r="L61" s="67"/>
      <c r="M61" s="68"/>
    </row>
  </sheetData>
  <mergeCells count="10">
    <mergeCell ref="C50:D50"/>
    <mergeCell ref="C24:D24"/>
    <mergeCell ref="C37:D37"/>
    <mergeCell ref="C8:H8"/>
    <mergeCell ref="C9:H9"/>
    <mergeCell ref="C10:H10"/>
    <mergeCell ref="C13:H13"/>
    <mergeCell ref="C12:H12"/>
    <mergeCell ref="C11:H11"/>
    <mergeCell ref="B15:H20"/>
  </mergeCells>
  <dataValidations count="1">
    <dataValidation type="list" allowBlank="1" showInputMessage="1" showErrorMessage="1" sqref="C54:D54" xr:uid="{0012593E-074A-479B-BA28-A896F7271A56}">
      <mc:AlternateContent xmlns:x12ac="http://schemas.microsoft.com/office/spreadsheetml/2011/1/ac" xmlns:mc="http://schemas.openxmlformats.org/markup-compatibility/2006">
        <mc:Choice Requires="x12ac">
          <x12ac:list>"""excl. Disc.""","""incl. Disc"""</x12ac:list>
        </mc:Choice>
        <mc:Fallback>
          <formula1>"""excl. Disc."",""incl. Disc"""</formula1>
        </mc:Fallback>
      </mc:AlternateContent>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0FF72D4D-9CB6-407E-BFFD-108741651571}">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2468C88A-D0A8-4405-92DF-D1963334BDE3}">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BB6AE-8F9D-4744-B05B-8F6245B8B497}">
  <sheetPr>
    <tabColor theme="5" tint="0.59999389629810485"/>
  </sheetPr>
  <dimension ref="A1:M47"/>
  <sheetViews>
    <sheetView workbookViewId="0">
      <selection activeCell="C15" sqref="C15:H15"/>
    </sheetView>
  </sheetViews>
  <sheetFormatPr baseColWidth="10" defaultRowHeight="15" x14ac:dyDescent="0.25"/>
  <cols>
    <col min="1" max="1" width="11.42578125" style="1"/>
    <col min="2" max="2" width="23.85546875" style="1" bestFit="1" customWidth="1"/>
    <col min="3" max="3" width="13" style="1" bestFit="1" customWidth="1"/>
    <col min="4" max="4" width="12.5703125" style="1" bestFit="1" customWidth="1"/>
    <col min="5" max="5" width="13" style="1" bestFit="1" customWidth="1"/>
    <col min="6" max="6" width="17.140625" style="1" bestFit="1" customWidth="1"/>
    <col min="7" max="7" width="14" style="1" bestFit="1" customWidth="1"/>
    <col min="8" max="16384" width="11.42578125" style="1"/>
  </cols>
  <sheetData>
    <row r="1" spans="1:13" s="2" customFormat="1" x14ac:dyDescent="0.25">
      <c r="A1" s="3" t="s">
        <v>23</v>
      </c>
      <c r="B1" s="3"/>
      <c r="C1" s="3" t="s">
        <v>187</v>
      </c>
      <c r="D1" s="3"/>
    </row>
    <row r="3" spans="1:13" x14ac:dyDescent="0.25">
      <c r="C3" s="11" t="s">
        <v>4</v>
      </c>
      <c r="J3" s="10" t="s">
        <v>5</v>
      </c>
      <c r="K3" s="10"/>
      <c r="L3" s="10"/>
      <c r="M3" s="10"/>
    </row>
    <row r="4" spans="1:13" x14ac:dyDescent="0.25">
      <c r="B4" s="1" t="s">
        <v>188</v>
      </c>
      <c r="C4" s="92"/>
      <c r="J4" s="12" t="s">
        <v>6</v>
      </c>
      <c r="K4" s="13" t="s">
        <v>7</v>
      </c>
      <c r="L4" s="13" t="s">
        <v>8</v>
      </c>
      <c r="M4" s="14" t="s">
        <v>9</v>
      </c>
    </row>
    <row r="5" spans="1:13" x14ac:dyDescent="0.25">
      <c r="I5" s="1" t="s">
        <v>15</v>
      </c>
      <c r="J5" s="40">
        <v>1</v>
      </c>
      <c r="K5" s="41">
        <v>-0.01</v>
      </c>
      <c r="L5" s="41">
        <v>1</v>
      </c>
      <c r="M5" s="42">
        <v>1</v>
      </c>
    </row>
    <row r="6" spans="1:13" x14ac:dyDescent="0.25">
      <c r="I6" s="1" t="s">
        <v>16</v>
      </c>
      <c r="J6" s="15">
        <v>1</v>
      </c>
      <c r="K6" s="16">
        <v>-0.01</v>
      </c>
      <c r="L6" s="16">
        <v>1</v>
      </c>
      <c r="M6" s="17">
        <v>1</v>
      </c>
    </row>
    <row r="10" spans="1:13" ht="31.5" customHeight="1" x14ac:dyDescent="0.25">
      <c r="B10" s="108" t="s">
        <v>51</v>
      </c>
      <c r="C10" s="144" t="s">
        <v>243</v>
      </c>
      <c r="D10" s="144"/>
      <c r="E10" s="144"/>
      <c r="F10" s="144"/>
      <c r="G10" s="144"/>
      <c r="H10" s="145"/>
    </row>
    <row r="11" spans="1:13" ht="50.25" customHeight="1" x14ac:dyDescent="0.25">
      <c r="B11" s="109" t="s">
        <v>52</v>
      </c>
      <c r="C11" s="146" t="s">
        <v>248</v>
      </c>
      <c r="D11" s="146"/>
      <c r="E11" s="146"/>
      <c r="F11" s="146"/>
      <c r="G11" s="146"/>
      <c r="H11" s="147"/>
    </row>
    <row r="12" spans="1:13" x14ac:dyDescent="0.25">
      <c r="B12" s="109" t="s">
        <v>53</v>
      </c>
      <c r="C12" s="146" t="s">
        <v>246</v>
      </c>
      <c r="D12" s="146"/>
      <c r="E12" s="146"/>
      <c r="F12" s="146"/>
      <c r="G12" s="146"/>
      <c r="H12" s="147"/>
    </row>
    <row r="13" spans="1:13" ht="62.25" customHeight="1" x14ac:dyDescent="0.25">
      <c r="B13" s="109" t="s">
        <v>143</v>
      </c>
      <c r="C13" s="307" t="s">
        <v>225</v>
      </c>
      <c r="D13" s="158"/>
      <c r="E13" s="158"/>
      <c r="F13" s="158"/>
      <c r="G13" s="158"/>
      <c r="H13" s="159"/>
    </row>
    <row r="14" spans="1:13" ht="30" customHeight="1" x14ac:dyDescent="0.25">
      <c r="B14" s="109" t="s">
        <v>145</v>
      </c>
      <c r="C14" s="146" t="s">
        <v>247</v>
      </c>
      <c r="D14" s="146"/>
      <c r="E14" s="146"/>
      <c r="F14" s="146"/>
      <c r="G14" s="146"/>
      <c r="H14" s="147"/>
      <c r="I14" s="106"/>
    </row>
    <row r="15" spans="1:13" ht="45" customHeight="1" x14ac:dyDescent="0.25">
      <c r="B15" s="110" t="s">
        <v>54</v>
      </c>
      <c r="C15" s="148" t="s">
        <v>58</v>
      </c>
      <c r="D15" s="148"/>
      <c r="E15" s="148"/>
      <c r="F15" s="148"/>
      <c r="G15" s="148"/>
      <c r="H15" s="149"/>
    </row>
    <row r="16" spans="1:13" x14ac:dyDescent="0.25">
      <c r="C16" s="18"/>
      <c r="D16" s="18"/>
      <c r="E16" s="18"/>
      <c r="F16" s="18"/>
      <c r="G16" s="18"/>
      <c r="H16" s="18"/>
      <c r="I16" s="18"/>
    </row>
    <row r="17" spans="2:11" ht="15" customHeight="1" x14ac:dyDescent="0.25">
      <c r="B17" s="312" t="s">
        <v>189</v>
      </c>
      <c r="C17" s="313"/>
      <c r="D17" s="313"/>
      <c r="E17" s="313"/>
      <c r="F17" s="313"/>
      <c r="G17" s="313"/>
      <c r="H17" s="314"/>
    </row>
    <row r="18" spans="2:11" x14ac:dyDescent="0.25">
      <c r="B18" s="310"/>
      <c r="C18" s="311"/>
      <c r="D18" s="311"/>
      <c r="E18" s="311"/>
      <c r="F18" s="311"/>
      <c r="G18" s="311"/>
      <c r="H18" s="315"/>
    </row>
    <row r="19" spans="2:11" x14ac:dyDescent="0.25">
      <c r="B19" s="310"/>
      <c r="C19" s="311"/>
      <c r="D19" s="311"/>
      <c r="E19" s="311"/>
      <c r="F19" s="311"/>
      <c r="G19" s="311"/>
      <c r="H19" s="315"/>
    </row>
    <row r="20" spans="2:11" x14ac:dyDescent="0.25">
      <c r="B20" s="310"/>
      <c r="C20" s="311"/>
      <c r="D20" s="311"/>
      <c r="E20" s="311"/>
      <c r="F20" s="311"/>
      <c r="G20" s="311"/>
      <c r="H20" s="315"/>
    </row>
    <row r="21" spans="2:11" x14ac:dyDescent="0.25">
      <c r="B21" s="310"/>
      <c r="C21" s="311"/>
      <c r="D21" s="311"/>
      <c r="E21" s="311"/>
      <c r="F21" s="311"/>
      <c r="G21" s="311"/>
      <c r="H21" s="315"/>
    </row>
    <row r="22" spans="2:11" x14ac:dyDescent="0.25">
      <c r="B22" s="316"/>
      <c r="C22" s="317"/>
      <c r="D22" s="317"/>
      <c r="E22" s="317"/>
      <c r="F22" s="317"/>
      <c r="G22" s="317"/>
      <c r="H22" s="318"/>
    </row>
    <row r="24" spans="2:11" x14ac:dyDescent="0.25">
      <c r="B24" s="59" t="s">
        <v>34</v>
      </c>
    </row>
    <row r="25" spans="2:11" x14ac:dyDescent="0.25">
      <c r="B25" s="60"/>
      <c r="C25" s="143" t="s">
        <v>10</v>
      </c>
      <c r="D25" s="143"/>
      <c r="E25" s="61"/>
      <c r="F25" s="61"/>
      <c r="G25" s="61"/>
      <c r="H25" s="61"/>
      <c r="I25" s="61"/>
      <c r="J25" s="61"/>
      <c r="K25" s="62"/>
    </row>
    <row r="26" spans="2:11" x14ac:dyDescent="0.25">
      <c r="B26" s="63"/>
      <c r="C26" s="64"/>
      <c r="D26" s="64"/>
      <c r="E26" s="64"/>
      <c r="F26" s="64"/>
      <c r="G26" s="64"/>
      <c r="H26" s="64"/>
      <c r="I26" s="64"/>
      <c r="J26" s="64"/>
      <c r="K26" s="65"/>
    </row>
    <row r="27" spans="2:11" x14ac:dyDescent="0.25">
      <c r="B27" s="63"/>
      <c r="C27" s="258" t="s">
        <v>6</v>
      </c>
      <c r="D27" s="259"/>
      <c r="E27" s="258" t="s">
        <v>7</v>
      </c>
      <c r="F27" s="259"/>
      <c r="G27" s="258" t="s">
        <v>8</v>
      </c>
      <c r="H27" s="259"/>
      <c r="I27" s="258" t="s">
        <v>9</v>
      </c>
      <c r="J27" s="260"/>
      <c r="K27" s="65"/>
    </row>
    <row r="28" spans="2:11" x14ac:dyDescent="0.25">
      <c r="B28" s="63"/>
      <c r="C28" s="210" t="s">
        <v>190</v>
      </c>
      <c r="D28" s="257"/>
      <c r="E28" s="321"/>
      <c r="F28" s="322"/>
      <c r="G28" s="210" t="s">
        <v>191</v>
      </c>
      <c r="H28" s="257"/>
      <c r="I28" s="210" t="s">
        <v>190</v>
      </c>
      <c r="J28" s="257"/>
      <c r="K28" s="65"/>
    </row>
    <row r="29" spans="2:11" x14ac:dyDescent="0.25">
      <c r="B29" s="63"/>
      <c r="C29" s="254">
        <v>100000</v>
      </c>
      <c r="D29" s="215">
        <v>0.1</v>
      </c>
      <c r="E29" s="323"/>
      <c r="F29" s="324"/>
      <c r="G29" s="254" t="s">
        <v>28</v>
      </c>
      <c r="H29" s="215">
        <v>0.1</v>
      </c>
      <c r="I29" s="254">
        <v>1000000</v>
      </c>
      <c r="J29" s="215">
        <v>0.05</v>
      </c>
      <c r="K29" s="65"/>
    </row>
    <row r="30" spans="2:11" x14ac:dyDescent="0.25">
      <c r="B30" s="63"/>
      <c r="C30" s="254">
        <v>150000</v>
      </c>
      <c r="D30" s="215">
        <v>7.4999999999999997E-2</v>
      </c>
      <c r="E30" s="323"/>
      <c r="F30" s="324"/>
      <c r="G30" s="254" t="s">
        <v>29</v>
      </c>
      <c r="H30" s="215">
        <v>0.05</v>
      </c>
      <c r="I30" s="254">
        <v>3000000</v>
      </c>
      <c r="J30" s="215">
        <v>0.03</v>
      </c>
      <c r="K30" s="65"/>
    </row>
    <row r="31" spans="2:11" x14ac:dyDescent="0.25">
      <c r="B31" s="63"/>
      <c r="C31" s="255"/>
      <c r="D31" s="216">
        <v>0.05</v>
      </c>
      <c r="E31" s="323"/>
      <c r="F31" s="324"/>
      <c r="G31" s="255"/>
      <c r="H31" s="216"/>
      <c r="I31" s="255"/>
      <c r="J31" s="216">
        <v>5.0000000000000001E-3</v>
      </c>
      <c r="K31" s="65"/>
    </row>
    <row r="32" spans="2:11" x14ac:dyDescent="0.25">
      <c r="B32" s="63"/>
      <c r="C32" s="252" t="s">
        <v>188</v>
      </c>
      <c r="D32" s="253">
        <v>0.06</v>
      </c>
      <c r="E32" s="325"/>
      <c r="F32" s="326"/>
      <c r="G32" s="252" t="s">
        <v>188</v>
      </c>
      <c r="H32" s="253">
        <v>7.4999999999999997E-2</v>
      </c>
      <c r="I32" s="252" t="s">
        <v>188</v>
      </c>
      <c r="J32" s="253">
        <v>0.02</v>
      </c>
      <c r="K32" s="65"/>
    </row>
    <row r="33" spans="2:11" ht="24" x14ac:dyDescent="0.25">
      <c r="B33" s="63"/>
      <c r="C33" s="179"/>
      <c r="D33" s="64"/>
      <c r="E33" s="64"/>
      <c r="F33" s="64"/>
      <c r="G33" s="261" t="s">
        <v>194</v>
      </c>
      <c r="H33" s="256">
        <v>75000</v>
      </c>
      <c r="I33" s="64"/>
      <c r="J33" s="64"/>
      <c r="K33" s="65"/>
    </row>
    <row r="34" spans="2:11" x14ac:dyDescent="0.25">
      <c r="B34" s="63"/>
      <c r="C34" s="179"/>
      <c r="D34" s="64"/>
      <c r="E34" s="64"/>
      <c r="F34" s="64"/>
      <c r="G34" s="64"/>
      <c r="H34" s="64"/>
      <c r="I34" s="64"/>
      <c r="J34" s="64"/>
      <c r="K34" s="65"/>
    </row>
    <row r="35" spans="2:11" x14ac:dyDescent="0.25">
      <c r="B35" s="63"/>
      <c r="C35" s="64" t="s">
        <v>35</v>
      </c>
      <c r="D35" s="64"/>
      <c r="E35" s="64"/>
      <c r="F35" s="64"/>
      <c r="G35" s="64"/>
      <c r="H35" s="64"/>
      <c r="I35" s="64"/>
      <c r="J35" s="64"/>
      <c r="K35" s="189"/>
    </row>
    <row r="36" spans="2:11" ht="36" x14ac:dyDescent="0.25">
      <c r="B36" s="242"/>
      <c r="C36" s="52" t="s">
        <v>213</v>
      </c>
      <c r="D36" s="163" t="s">
        <v>192</v>
      </c>
      <c r="E36" s="163" t="s">
        <v>193</v>
      </c>
      <c r="F36" s="163" t="s">
        <v>168</v>
      </c>
      <c r="G36" s="164" t="s">
        <v>146</v>
      </c>
      <c r="H36" s="164" t="s">
        <v>147</v>
      </c>
      <c r="I36" s="165" t="s">
        <v>14</v>
      </c>
      <c r="J36" s="64"/>
      <c r="K36" s="65"/>
    </row>
    <row r="37" spans="2:11" x14ac:dyDescent="0.25">
      <c r="B37" s="243" t="s">
        <v>6</v>
      </c>
      <c r="C37" s="217">
        <v>525000</v>
      </c>
      <c r="D37" s="237">
        <f>IF(C37&gt;C30,((C37-C30)*D31+(C30-C29)*D30+D29*C29)/C37,IF(C37&gt;C29,((C37-C29)*D30+C29*D29)/C37,D29))</f>
        <v>6.1904761904761907E-2</v>
      </c>
      <c r="E37" s="237">
        <f>IF(D37&lt;D32,D32,D37)</f>
        <v>6.1904761904761907E-2</v>
      </c>
      <c r="F37" s="218">
        <f>C37*E37</f>
        <v>32500</v>
      </c>
      <c r="G37" s="219">
        <v>52500</v>
      </c>
      <c r="H37" s="220">
        <f>G37/C37</f>
        <v>0.1</v>
      </c>
      <c r="I37" s="218">
        <f>G37-F37</f>
        <v>20000</v>
      </c>
      <c r="J37" s="64"/>
      <c r="K37" s="65"/>
    </row>
    <row r="38" spans="2:11" x14ac:dyDescent="0.25">
      <c r="B38" s="243" t="s">
        <v>7</v>
      </c>
      <c r="C38" s="217">
        <v>125000</v>
      </c>
      <c r="D38" s="237">
        <v>0</v>
      </c>
      <c r="E38" s="237">
        <f>D38</f>
        <v>0</v>
      </c>
      <c r="F38" s="218">
        <f t="shared" ref="F38:F40" si="0">C38*E38</f>
        <v>0</v>
      </c>
      <c r="G38" s="219">
        <v>0</v>
      </c>
      <c r="H38" s="220">
        <f>G38/C38</f>
        <v>0</v>
      </c>
      <c r="I38" s="218">
        <f t="shared" ref="I38:I40" si="1">G38-F38</f>
        <v>0</v>
      </c>
      <c r="J38" s="64"/>
      <c r="K38" s="65"/>
    </row>
    <row r="39" spans="2:11" x14ac:dyDescent="0.25">
      <c r="B39" s="243" t="s">
        <v>8</v>
      </c>
      <c r="C39" s="221">
        <v>182000</v>
      </c>
      <c r="D39" s="237">
        <f>IF(C39&gt;H33,(H33*H29+(C39-H33)*H30)/C39,H29)</f>
        <v>7.0604395604395603E-2</v>
      </c>
      <c r="E39" s="237">
        <f>IF(D39&lt;H32,H32,D39)</f>
        <v>7.4999999999999997E-2</v>
      </c>
      <c r="F39" s="218">
        <f t="shared" si="0"/>
        <v>13650</v>
      </c>
      <c r="G39" s="219">
        <v>18200</v>
      </c>
      <c r="H39" s="220">
        <f>G39/C39</f>
        <v>0.1</v>
      </c>
      <c r="I39" s="218">
        <f t="shared" si="1"/>
        <v>4550</v>
      </c>
      <c r="J39" s="64"/>
      <c r="K39" s="65"/>
    </row>
    <row r="40" spans="2:11" ht="15.75" thickBot="1" x14ac:dyDescent="0.3">
      <c r="B40" s="243" t="s">
        <v>124</v>
      </c>
      <c r="C40" s="222">
        <v>7550000</v>
      </c>
      <c r="D40" s="237">
        <f>IF(C40&gt;I30,((C40-I30)*J31+(I30-I29)*J30+J29*I29)/C40,IF(C40&gt;I29,((C40-I29)*J30+I29*J29)/C40,J29))</f>
        <v>1.7582781456953644E-2</v>
      </c>
      <c r="E40" s="237">
        <f>IF(D40&lt;J32,J32,D40)</f>
        <v>0.02</v>
      </c>
      <c r="F40" s="238">
        <f t="shared" si="0"/>
        <v>151000</v>
      </c>
      <c r="G40" s="219">
        <v>151000</v>
      </c>
      <c r="H40" s="220">
        <f>G40/C40</f>
        <v>0.02</v>
      </c>
      <c r="I40" s="238">
        <f t="shared" si="1"/>
        <v>0</v>
      </c>
      <c r="J40" s="64"/>
      <c r="K40" s="65"/>
    </row>
    <row r="41" spans="2:11" ht="16.5" thickTop="1" thickBot="1" x14ac:dyDescent="0.3">
      <c r="B41" s="244" t="s">
        <v>186</v>
      </c>
      <c r="C41" s="64"/>
      <c r="D41" s="64"/>
      <c r="E41" s="64"/>
      <c r="F41" s="240">
        <f>SUM(F37:F40)</f>
        <v>197150</v>
      </c>
      <c r="G41" s="64"/>
      <c r="H41" s="64"/>
      <c r="I41" s="245">
        <f>SUM(I37:I40)</f>
        <v>24550</v>
      </c>
      <c r="J41" s="64"/>
      <c r="K41" s="65"/>
    </row>
    <row r="42" spans="2:11" ht="15.75" thickTop="1" x14ac:dyDescent="0.25">
      <c r="B42" s="63"/>
      <c r="C42" s="64"/>
      <c r="D42" s="64"/>
      <c r="E42" s="64"/>
      <c r="F42" s="64"/>
      <c r="G42" s="64"/>
      <c r="H42" s="64"/>
      <c r="I42" s="64"/>
      <c r="J42" s="64"/>
      <c r="K42" s="65"/>
    </row>
    <row r="43" spans="2:11" x14ac:dyDescent="0.25">
      <c r="B43" s="63"/>
      <c r="C43" s="64"/>
      <c r="D43" s="64"/>
      <c r="E43" s="64"/>
      <c r="F43" s="64"/>
      <c r="G43" s="64"/>
      <c r="H43" s="64"/>
      <c r="I43" s="64"/>
      <c r="J43" s="64"/>
      <c r="K43" s="65"/>
    </row>
    <row r="44" spans="2:11" x14ac:dyDescent="0.25">
      <c r="B44" s="63"/>
      <c r="C44" s="64"/>
      <c r="D44" s="64"/>
      <c r="E44" s="64"/>
      <c r="F44" s="64"/>
      <c r="G44" s="64"/>
      <c r="H44" s="64"/>
      <c r="I44" s="64"/>
      <c r="J44" s="64"/>
      <c r="K44" s="65"/>
    </row>
    <row r="45" spans="2:11" x14ac:dyDescent="0.25">
      <c r="B45" s="63"/>
      <c r="C45" s="64"/>
      <c r="D45" s="64"/>
      <c r="E45" s="64"/>
      <c r="F45" s="64"/>
      <c r="G45" s="64"/>
      <c r="H45" s="64"/>
      <c r="I45" s="64"/>
      <c r="J45" s="64"/>
      <c r="K45" s="65"/>
    </row>
    <row r="46" spans="2:11" x14ac:dyDescent="0.25">
      <c r="B46" s="63"/>
      <c r="C46" s="64"/>
      <c r="D46" s="64"/>
      <c r="E46" s="64"/>
      <c r="F46" s="64"/>
      <c r="G46" s="64"/>
      <c r="H46" s="64"/>
      <c r="I46" s="64"/>
      <c r="J46" s="64"/>
      <c r="K46" s="65"/>
    </row>
    <row r="47" spans="2:11" x14ac:dyDescent="0.25">
      <c r="B47" s="66"/>
      <c r="C47" s="67"/>
      <c r="D47" s="67"/>
      <c r="E47" s="67"/>
      <c r="F47" s="67"/>
      <c r="G47" s="67"/>
      <c r="H47" s="67"/>
      <c r="I47" s="67"/>
      <c r="J47" s="67"/>
      <c r="K47" s="68"/>
    </row>
  </sheetData>
  <mergeCells count="12">
    <mergeCell ref="I27:J27"/>
    <mergeCell ref="B17:H22"/>
    <mergeCell ref="C25:D25"/>
    <mergeCell ref="C27:D27"/>
    <mergeCell ref="E27:F27"/>
    <mergeCell ref="G27:H27"/>
    <mergeCell ref="C10:H10"/>
    <mergeCell ref="C11:H11"/>
    <mergeCell ref="C12:H12"/>
    <mergeCell ref="C13:H13"/>
    <mergeCell ref="C14:H14"/>
    <mergeCell ref="C15:H15"/>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F52FD137-9349-4853-B6DF-CBD9F1850EC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656BF31C-9FC5-418E-828E-CBCE687D1EE5}">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E2026-F65D-4780-95C7-96FF58FD7487}">
  <sheetPr>
    <tabColor theme="5" tint="0.39997558519241921"/>
  </sheetPr>
  <dimension ref="A1:M49"/>
  <sheetViews>
    <sheetView workbookViewId="0">
      <selection activeCell="C13" sqref="C13:H13"/>
    </sheetView>
  </sheetViews>
  <sheetFormatPr baseColWidth="10" defaultRowHeight="15" x14ac:dyDescent="0.25"/>
  <cols>
    <col min="1" max="1" width="11.42578125" style="1"/>
    <col min="2" max="2" width="24.5703125" style="1" customWidth="1"/>
    <col min="3" max="3" width="14.42578125" style="1" bestFit="1" customWidth="1"/>
    <col min="4" max="4" width="12.42578125" style="1" bestFit="1" customWidth="1"/>
    <col min="5" max="5" width="13" style="1" bestFit="1" customWidth="1"/>
    <col min="6" max="6" width="17.140625" style="1" bestFit="1" customWidth="1"/>
    <col min="7" max="7" width="14" style="1" bestFit="1" customWidth="1"/>
    <col min="8" max="9" width="13" style="1" bestFit="1" customWidth="1"/>
    <col min="10" max="11" width="11.42578125" style="1"/>
    <col min="12" max="12" width="15.140625" style="1" bestFit="1" customWidth="1"/>
    <col min="13" max="13" width="12.5703125" style="1" bestFit="1" customWidth="1"/>
    <col min="14" max="16384" width="11.42578125" style="1"/>
  </cols>
  <sheetData>
    <row r="1" spans="1:13" s="2" customFormat="1" x14ac:dyDescent="0.25">
      <c r="A1" s="3" t="s">
        <v>23</v>
      </c>
      <c r="B1" s="3"/>
      <c r="C1" s="3" t="s">
        <v>160</v>
      </c>
      <c r="D1" s="3"/>
      <c r="E1" s="137"/>
    </row>
    <row r="3" spans="1:13" x14ac:dyDescent="0.25">
      <c r="B3" s="174" t="s">
        <v>182</v>
      </c>
      <c r="C3" s="45" t="s">
        <v>4</v>
      </c>
      <c r="D3" s="45" t="s">
        <v>3</v>
      </c>
      <c r="E3" s="45" t="s">
        <v>161</v>
      </c>
      <c r="J3" s="10" t="s">
        <v>5</v>
      </c>
      <c r="K3" s="10"/>
      <c r="L3" s="10"/>
      <c r="M3" s="10"/>
    </row>
    <row r="4" spans="1:13" x14ac:dyDescent="0.25">
      <c r="B4" s="175" t="s">
        <v>178</v>
      </c>
      <c r="C4" s="46"/>
      <c r="D4" s="46" t="s">
        <v>32</v>
      </c>
      <c r="E4" s="46"/>
      <c r="J4" s="12" t="s">
        <v>6</v>
      </c>
      <c r="K4" s="13" t="s">
        <v>7</v>
      </c>
      <c r="L4" s="13" t="s">
        <v>8</v>
      </c>
      <c r="M4" s="14" t="s">
        <v>9</v>
      </c>
    </row>
    <row r="5" spans="1:13" x14ac:dyDescent="0.25">
      <c r="B5" s="176" t="s">
        <v>179</v>
      </c>
      <c r="C5" s="47"/>
      <c r="D5" s="47"/>
      <c r="E5" s="47" t="s">
        <v>32</v>
      </c>
      <c r="I5" s="1" t="s">
        <v>15</v>
      </c>
      <c r="J5" s="40">
        <v>1</v>
      </c>
      <c r="K5" s="41">
        <v>-0.01</v>
      </c>
      <c r="L5" s="41">
        <v>1</v>
      </c>
      <c r="M5" s="42">
        <v>1</v>
      </c>
    </row>
    <row r="6" spans="1:13" x14ac:dyDescent="0.25">
      <c r="I6" s="1" t="s">
        <v>16</v>
      </c>
      <c r="J6" s="15">
        <v>1</v>
      </c>
      <c r="K6" s="16">
        <v>-0.01</v>
      </c>
      <c r="L6" s="16">
        <v>1</v>
      </c>
      <c r="M6" s="17">
        <v>1</v>
      </c>
    </row>
    <row r="8" spans="1:13" s="161" customFormat="1" ht="33.75" customHeight="1" x14ac:dyDescent="0.25">
      <c r="B8" s="108" t="s">
        <v>51</v>
      </c>
      <c r="C8" s="144" t="s">
        <v>250</v>
      </c>
      <c r="D8" s="144"/>
      <c r="E8" s="144"/>
      <c r="F8" s="144"/>
      <c r="G8" s="144"/>
      <c r="H8" s="145"/>
    </row>
    <row r="9" spans="1:13" s="161" customFormat="1" ht="35.25" customHeight="1" x14ac:dyDescent="0.25">
      <c r="B9" s="109" t="s">
        <v>52</v>
      </c>
      <c r="C9" s="153" t="s">
        <v>249</v>
      </c>
      <c r="D9" s="146"/>
      <c r="E9" s="146"/>
      <c r="F9" s="146"/>
      <c r="G9" s="146"/>
      <c r="H9" s="147"/>
    </row>
    <row r="10" spans="1:13" s="161" customFormat="1" ht="33" customHeight="1" x14ac:dyDescent="0.25">
      <c r="B10" s="109" t="s">
        <v>53</v>
      </c>
      <c r="C10" s="146" t="s">
        <v>251</v>
      </c>
      <c r="D10" s="146"/>
      <c r="E10" s="146"/>
      <c r="F10" s="146"/>
      <c r="G10" s="146"/>
      <c r="H10" s="147"/>
    </row>
    <row r="11" spans="1:13" s="161" customFormat="1" ht="65.25" customHeight="1" x14ac:dyDescent="0.25">
      <c r="B11" s="109" t="s">
        <v>143</v>
      </c>
      <c r="C11" s="307" t="s">
        <v>224</v>
      </c>
      <c r="D11" s="158"/>
      <c r="E11" s="158"/>
      <c r="F11" s="158"/>
      <c r="G11" s="158"/>
      <c r="H11" s="159"/>
    </row>
    <row r="12" spans="1:13" s="161" customFormat="1" ht="33.75" customHeight="1" x14ac:dyDescent="0.25">
      <c r="B12" s="109" t="s">
        <v>145</v>
      </c>
      <c r="C12" s="146" t="s">
        <v>232</v>
      </c>
      <c r="D12" s="146"/>
      <c r="E12" s="146"/>
      <c r="F12" s="146"/>
      <c r="G12" s="146"/>
      <c r="H12" s="147"/>
    </row>
    <row r="13" spans="1:13" s="161" customFormat="1" ht="15" customHeight="1" x14ac:dyDescent="0.25">
      <c r="B13" s="110" t="s">
        <v>54</v>
      </c>
      <c r="C13" s="148" t="s">
        <v>58</v>
      </c>
      <c r="D13" s="148"/>
      <c r="E13" s="148"/>
      <c r="F13" s="148"/>
      <c r="G13" s="148"/>
      <c r="H13" s="149"/>
    </row>
    <row r="15" spans="1:13" ht="15" customHeight="1" x14ac:dyDescent="0.25">
      <c r="B15" s="312" t="s">
        <v>261</v>
      </c>
      <c r="C15" s="313"/>
      <c r="D15" s="313"/>
      <c r="E15" s="313"/>
      <c r="F15" s="313"/>
      <c r="G15" s="313"/>
      <c r="H15" s="314"/>
    </row>
    <row r="16" spans="1:13" x14ac:dyDescent="0.25">
      <c r="B16" s="310"/>
      <c r="C16" s="311"/>
      <c r="D16" s="311"/>
      <c r="E16" s="311"/>
      <c r="F16" s="311"/>
      <c r="G16" s="311"/>
      <c r="H16" s="315"/>
    </row>
    <row r="17" spans="2:11" x14ac:dyDescent="0.25">
      <c r="B17" s="310"/>
      <c r="C17" s="311"/>
      <c r="D17" s="311"/>
      <c r="E17" s="311"/>
      <c r="F17" s="311"/>
      <c r="G17" s="311"/>
      <c r="H17" s="315"/>
    </row>
    <row r="18" spans="2:11" x14ac:dyDescent="0.25">
      <c r="B18" s="310"/>
      <c r="C18" s="311"/>
      <c r="D18" s="311"/>
      <c r="E18" s="311"/>
      <c r="F18" s="311"/>
      <c r="G18" s="311"/>
      <c r="H18" s="315"/>
    </row>
    <row r="19" spans="2:11" x14ac:dyDescent="0.25">
      <c r="B19" s="310"/>
      <c r="C19" s="311"/>
      <c r="D19" s="311"/>
      <c r="E19" s="311"/>
      <c r="F19" s="311"/>
      <c r="G19" s="311"/>
      <c r="H19" s="315"/>
    </row>
    <row r="20" spans="2:11" x14ac:dyDescent="0.25">
      <c r="B20" s="316"/>
      <c r="C20" s="317"/>
      <c r="D20" s="317"/>
      <c r="E20" s="317"/>
      <c r="F20" s="317"/>
      <c r="G20" s="317"/>
      <c r="H20" s="318"/>
    </row>
    <row r="23" spans="2:11" x14ac:dyDescent="0.25">
      <c r="B23" s="59" t="s">
        <v>34</v>
      </c>
      <c r="C23" s="1" t="s">
        <v>171</v>
      </c>
    </row>
    <row r="24" spans="2:11" x14ac:dyDescent="0.25">
      <c r="B24" s="60"/>
      <c r="C24" s="143" t="s">
        <v>10</v>
      </c>
      <c r="D24" s="143"/>
      <c r="E24" s="61"/>
      <c r="F24" s="61"/>
      <c r="G24" s="61"/>
      <c r="H24" s="61"/>
      <c r="I24" s="61"/>
      <c r="J24" s="61"/>
      <c r="K24" s="62"/>
    </row>
    <row r="25" spans="2:11" ht="30" x14ac:dyDescent="0.25">
      <c r="B25" s="329" t="s">
        <v>255</v>
      </c>
      <c r="C25" s="177" t="s">
        <v>4</v>
      </c>
      <c r="D25" s="178" t="s">
        <v>3</v>
      </c>
      <c r="E25" s="178" t="s">
        <v>169</v>
      </c>
      <c r="F25" s="64"/>
      <c r="G25" s="64"/>
      <c r="H25" s="64"/>
      <c r="I25" s="64"/>
      <c r="J25" s="64"/>
      <c r="K25" s="65"/>
    </row>
    <row r="26" spans="2:11" x14ac:dyDescent="0.25">
      <c r="B26" s="63" t="s">
        <v>252</v>
      </c>
      <c r="C26" s="180"/>
      <c r="D26" s="181"/>
      <c r="E26" s="31">
        <v>7500</v>
      </c>
      <c r="F26" s="64"/>
      <c r="G26" s="64"/>
      <c r="H26" s="64"/>
      <c r="I26" s="64"/>
      <c r="J26" s="64"/>
      <c r="K26" s="65"/>
    </row>
    <row r="27" spans="2:11" x14ac:dyDescent="0.25">
      <c r="B27" s="63" t="s">
        <v>0</v>
      </c>
      <c r="C27" s="182">
        <v>0.1</v>
      </c>
      <c r="D27" s="183">
        <v>50000</v>
      </c>
      <c r="E27" s="183"/>
      <c r="F27" s="179"/>
      <c r="G27" s="64"/>
      <c r="H27" s="64"/>
      <c r="I27" s="64"/>
      <c r="J27" s="64"/>
      <c r="K27" s="65"/>
    </row>
    <row r="28" spans="2:11" x14ac:dyDescent="0.25">
      <c r="B28" s="63" t="s">
        <v>163</v>
      </c>
      <c r="C28" s="184">
        <v>0.05</v>
      </c>
      <c r="D28" s="185"/>
      <c r="E28" s="185"/>
      <c r="F28" s="64"/>
      <c r="G28" s="64"/>
      <c r="H28" s="64"/>
      <c r="I28" s="64"/>
      <c r="J28" s="64"/>
      <c r="K28" s="65"/>
    </row>
    <row r="29" spans="2:11" x14ac:dyDescent="0.25">
      <c r="B29" s="63"/>
      <c r="C29" s="64"/>
      <c r="D29" s="64"/>
      <c r="E29" s="64"/>
      <c r="F29" s="64"/>
      <c r="G29" s="64"/>
      <c r="H29" s="64"/>
      <c r="I29" s="64"/>
      <c r="J29" s="64"/>
      <c r="K29" s="65"/>
    </row>
    <row r="30" spans="2:11" x14ac:dyDescent="0.25">
      <c r="B30" s="63"/>
      <c r="C30" s="64"/>
      <c r="D30" s="64"/>
      <c r="E30" s="64"/>
      <c r="F30" s="64"/>
      <c r="G30" s="64"/>
      <c r="H30" s="64"/>
      <c r="I30" s="64"/>
      <c r="J30" s="64"/>
      <c r="K30" s="65"/>
    </row>
    <row r="31" spans="2:11" x14ac:dyDescent="0.25">
      <c r="B31" s="63"/>
      <c r="C31" s="64" t="s">
        <v>35</v>
      </c>
      <c r="D31" s="64"/>
      <c r="E31" s="64"/>
      <c r="F31" s="64"/>
      <c r="G31" s="64"/>
      <c r="H31" s="64"/>
      <c r="I31" s="64"/>
      <c r="J31" s="64"/>
      <c r="K31" s="189"/>
    </row>
    <row r="32" spans="2:11" ht="42.75" customHeight="1" x14ac:dyDescent="0.25">
      <c r="B32" s="319" t="s">
        <v>256</v>
      </c>
      <c r="C32" s="114" t="s">
        <v>213</v>
      </c>
      <c r="D32" s="163" t="s">
        <v>166</v>
      </c>
      <c r="E32" s="163" t="s">
        <v>168</v>
      </c>
      <c r="F32" s="163" t="s">
        <v>167</v>
      </c>
      <c r="G32" s="163" t="s">
        <v>170</v>
      </c>
      <c r="H32" s="163" t="s">
        <v>173</v>
      </c>
      <c r="I32" s="164" t="s">
        <v>146</v>
      </c>
      <c r="J32" s="164" t="s">
        <v>147</v>
      </c>
      <c r="K32" s="165" t="s">
        <v>14</v>
      </c>
    </row>
    <row r="33" spans="2:13" x14ac:dyDescent="0.25">
      <c r="B33" s="63" t="s">
        <v>164</v>
      </c>
      <c r="C33" s="37">
        <v>75000</v>
      </c>
      <c r="D33" s="231">
        <f>IF(C33&gt;D27,((C33-D27)*C28+C27*D27)/C33,C27)</f>
        <v>8.3333333333333329E-2</v>
      </c>
      <c r="E33" s="232">
        <f>C33*D33</f>
        <v>6250</v>
      </c>
      <c r="F33" s="224" t="str">
        <f>IF(E33&gt;E26,"YES","NO")</f>
        <v>NO</v>
      </c>
      <c r="G33" s="223">
        <f>IF(E33&gt;E26,E33,E26)</f>
        <v>7500</v>
      </c>
      <c r="H33" s="225">
        <f>G33/C33</f>
        <v>0.1</v>
      </c>
      <c r="I33" s="79">
        <v>18750</v>
      </c>
      <c r="J33" s="80">
        <f>I33/C33</f>
        <v>0.25</v>
      </c>
      <c r="K33" s="29">
        <f>I33-G33</f>
        <v>11250</v>
      </c>
    </row>
    <row r="34" spans="2:13" x14ac:dyDescent="0.25">
      <c r="B34" s="63" t="s">
        <v>165</v>
      </c>
      <c r="C34" s="26">
        <v>125000</v>
      </c>
      <c r="D34" s="233">
        <f>IF(C34&gt;D27,((C34-D27)*C28+C27*D27)/C34,C27)</f>
        <v>7.0000000000000007E-2</v>
      </c>
      <c r="E34" s="234">
        <f>C34*D34</f>
        <v>8750</v>
      </c>
      <c r="F34" s="227" t="str">
        <f>IF(E34&gt;E26,"YES","NO")</f>
        <v>YES</v>
      </c>
      <c r="G34" s="226">
        <f>IF(E34&gt;E26,E34,E26)</f>
        <v>8750</v>
      </c>
      <c r="H34" s="228">
        <f>G34/C34</f>
        <v>7.0000000000000007E-2</v>
      </c>
      <c r="I34" s="229">
        <v>31250</v>
      </c>
      <c r="J34" s="230">
        <f>I34/C34</f>
        <v>0.25</v>
      </c>
      <c r="K34" s="31">
        <f>I34-G34</f>
        <v>22500</v>
      </c>
    </row>
    <row r="35" spans="2:13" x14ac:dyDescent="0.25">
      <c r="B35" s="66"/>
      <c r="C35" s="67"/>
      <c r="D35" s="67"/>
      <c r="E35" s="67"/>
      <c r="F35" s="67"/>
      <c r="G35" s="67"/>
      <c r="H35" s="67"/>
      <c r="I35" s="67"/>
      <c r="J35" s="67"/>
      <c r="K35" s="68"/>
    </row>
    <row r="37" spans="2:13" x14ac:dyDescent="0.25">
      <c r="B37" s="59" t="s">
        <v>36</v>
      </c>
      <c r="C37" s="1" t="s">
        <v>172</v>
      </c>
    </row>
    <row r="38" spans="2:13" x14ac:dyDescent="0.25">
      <c r="B38" s="60"/>
      <c r="C38" s="143" t="s">
        <v>10</v>
      </c>
      <c r="D38" s="143"/>
      <c r="E38" s="61"/>
      <c r="F38" s="61"/>
      <c r="G38" s="61"/>
      <c r="H38" s="61"/>
      <c r="I38" s="61"/>
      <c r="J38" s="61"/>
      <c r="K38" s="62"/>
    </row>
    <row r="39" spans="2:13" ht="30" x14ac:dyDescent="0.25">
      <c r="B39" s="329" t="s">
        <v>255</v>
      </c>
      <c r="C39" s="177" t="s">
        <v>4</v>
      </c>
      <c r="D39" s="178" t="s">
        <v>3</v>
      </c>
      <c r="E39" s="178" t="s">
        <v>169</v>
      </c>
      <c r="F39" s="64"/>
      <c r="G39" s="64"/>
      <c r="H39" s="64"/>
      <c r="I39" s="64"/>
      <c r="J39" s="64"/>
      <c r="K39" s="65"/>
    </row>
    <row r="40" spans="2:13" x14ac:dyDescent="0.25">
      <c r="B40" s="63" t="s">
        <v>162</v>
      </c>
      <c r="C40" s="180"/>
      <c r="D40" s="186">
        <v>5000000</v>
      </c>
      <c r="E40" s="181"/>
      <c r="F40" s="64"/>
      <c r="G40" s="64"/>
      <c r="H40" s="64"/>
      <c r="I40" s="64"/>
      <c r="J40" s="64"/>
      <c r="K40" s="65"/>
    </row>
    <row r="41" spans="2:13" x14ac:dyDescent="0.25">
      <c r="B41" s="63" t="s">
        <v>0</v>
      </c>
      <c r="C41" s="182">
        <v>0.1</v>
      </c>
      <c r="D41" s="183">
        <v>1000000</v>
      </c>
      <c r="E41" s="183"/>
      <c r="F41" s="179"/>
      <c r="G41" s="64"/>
      <c r="H41" s="64"/>
      <c r="I41" s="64"/>
      <c r="J41" s="64"/>
      <c r="K41" s="65"/>
    </row>
    <row r="42" spans="2:13" x14ac:dyDescent="0.25">
      <c r="B42" s="63" t="s">
        <v>163</v>
      </c>
      <c r="C42" s="184">
        <v>0.05</v>
      </c>
      <c r="D42" s="185">
        <v>3000000</v>
      </c>
      <c r="E42" s="185"/>
      <c r="F42" s="179"/>
      <c r="G42" s="64"/>
      <c r="H42" s="64"/>
      <c r="I42" s="64"/>
      <c r="J42" s="64"/>
      <c r="K42" s="65"/>
    </row>
    <row r="43" spans="2:13" x14ac:dyDescent="0.25">
      <c r="B43" s="63" t="s">
        <v>163</v>
      </c>
      <c r="C43" s="184">
        <v>2.5000000000000001E-2</v>
      </c>
      <c r="D43" s="185"/>
      <c r="E43" s="185"/>
      <c r="F43" s="64"/>
      <c r="G43" s="64"/>
      <c r="H43" s="64"/>
      <c r="I43" s="64"/>
      <c r="J43" s="64"/>
      <c r="K43" s="65"/>
      <c r="L43" s="187"/>
      <c r="M43" s="187"/>
    </row>
    <row r="44" spans="2:13" x14ac:dyDescent="0.25">
      <c r="B44" s="63"/>
      <c r="C44" s="64"/>
      <c r="D44" s="64"/>
      <c r="E44" s="64"/>
      <c r="F44" s="179"/>
      <c r="G44" s="64"/>
      <c r="H44" s="64"/>
      <c r="I44" s="64"/>
      <c r="J44" s="64"/>
      <c r="K44" s="65"/>
      <c r="L44" s="187"/>
      <c r="M44" s="187"/>
    </row>
    <row r="45" spans="2:13" x14ac:dyDescent="0.25">
      <c r="B45" s="63"/>
      <c r="C45" s="64" t="s">
        <v>35</v>
      </c>
      <c r="D45" s="64"/>
      <c r="E45" s="64"/>
      <c r="F45" s="64"/>
      <c r="G45" s="64"/>
      <c r="H45" s="64"/>
      <c r="I45" s="64"/>
      <c r="J45" s="64"/>
      <c r="K45" s="189"/>
    </row>
    <row r="46" spans="2:13" ht="42.75" customHeight="1" x14ac:dyDescent="0.25">
      <c r="B46" s="319" t="s">
        <v>256</v>
      </c>
      <c r="C46" s="114" t="s">
        <v>213</v>
      </c>
      <c r="D46" s="163" t="s">
        <v>166</v>
      </c>
      <c r="E46" s="163" t="s">
        <v>168</v>
      </c>
      <c r="F46" s="163" t="s">
        <v>167</v>
      </c>
      <c r="G46" s="163" t="s">
        <v>170</v>
      </c>
      <c r="H46" s="163" t="s">
        <v>173</v>
      </c>
      <c r="I46" s="164" t="s">
        <v>146</v>
      </c>
      <c r="J46" s="164" t="s">
        <v>147</v>
      </c>
      <c r="K46" s="165" t="s">
        <v>14</v>
      </c>
    </row>
    <row r="47" spans="2:13" x14ac:dyDescent="0.25">
      <c r="B47" s="63" t="s">
        <v>257</v>
      </c>
      <c r="C47" s="37">
        <v>2500000</v>
      </c>
      <c r="D47" s="231">
        <f>IF(C47&gt;D42,((C47-D42)*C43+(D42-D41)*C42+C41*D41)/C47,IF(C47&gt;D41,((C47-D41)*C42+C41*D41)/C47,C41))</f>
        <v>7.0000000000000007E-2</v>
      </c>
      <c r="E47" s="232">
        <f>C47*D47</f>
        <v>175000.00000000003</v>
      </c>
      <c r="F47" s="224" t="str">
        <f>IF(C47&gt;D40,"YES","NO")</f>
        <v>NO</v>
      </c>
      <c r="G47" s="223">
        <f>IF(F47="NO",(C41*D41+(D42-D41)*C42+(D40-D42)*C43),C47*D47)</f>
        <v>250000</v>
      </c>
      <c r="H47" s="225">
        <f>G47/C47</f>
        <v>0.1</v>
      </c>
      <c r="I47" s="79">
        <v>187500</v>
      </c>
      <c r="J47" s="80">
        <f>I47/C47</f>
        <v>7.4999999999999997E-2</v>
      </c>
      <c r="K47" s="29">
        <f>I47-G47</f>
        <v>-62500</v>
      </c>
    </row>
    <row r="48" spans="2:13" x14ac:dyDescent="0.25">
      <c r="B48" s="63" t="s">
        <v>258</v>
      </c>
      <c r="C48" s="26">
        <v>7500000</v>
      </c>
      <c r="D48" s="233">
        <f>IF(C48&gt;D42,((C48-D42)*C43+(D42-D41)*C42+C41*D41)/C48,IF(C48&gt;D41,((C48-D41)*C42+C41*D41)/C48,C41))</f>
        <v>4.1666666666666664E-2</v>
      </c>
      <c r="E48" s="234">
        <f>C48*D48</f>
        <v>312500</v>
      </c>
      <c r="F48" s="227" t="str">
        <f>IF(C48&gt;D40,"YES","NO")</f>
        <v>YES</v>
      </c>
      <c r="G48" s="226">
        <f>IF(F48="NO",(C41*D41+(D42-D41)*C42+(D40-D42)*C43),C48*D48)</f>
        <v>312500</v>
      </c>
      <c r="H48" s="228">
        <f t="shared" ref="H48" si="0">G48/C48</f>
        <v>4.1666666666666664E-2</v>
      </c>
      <c r="I48" s="229">
        <v>562500</v>
      </c>
      <c r="J48" s="230">
        <f>I48/C48</f>
        <v>7.4999999999999997E-2</v>
      </c>
      <c r="K48" s="31">
        <f>I48-G48</f>
        <v>250000</v>
      </c>
    </row>
    <row r="49" spans="2:11" x14ac:dyDescent="0.25">
      <c r="B49" s="66"/>
      <c r="C49" s="67"/>
      <c r="D49" s="67"/>
      <c r="E49" s="67"/>
      <c r="F49" s="67"/>
      <c r="G49" s="67"/>
      <c r="H49" s="67"/>
      <c r="I49" s="67"/>
      <c r="J49" s="67"/>
      <c r="K49" s="68"/>
    </row>
  </sheetData>
  <mergeCells count="9">
    <mergeCell ref="C24:D24"/>
    <mergeCell ref="C38:D38"/>
    <mergeCell ref="B15:H20"/>
    <mergeCell ref="C8:H8"/>
    <mergeCell ref="C9:H9"/>
    <mergeCell ref="C10:H10"/>
    <mergeCell ref="C11:H11"/>
    <mergeCell ref="C12:H12"/>
    <mergeCell ref="C13:H13"/>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C61A7D5E-B975-4C52-8FB6-24B78680A72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D7157942-3B83-47D8-9907-95ED02CDD5AD}">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7EA1F-B3D8-4174-B3BF-9B2CB04868D2}">
  <sheetPr>
    <tabColor theme="5" tint="-0.249977111117893"/>
  </sheetPr>
  <dimension ref="A1:M65"/>
  <sheetViews>
    <sheetView workbookViewId="0">
      <selection activeCell="C13" sqref="C13:H13"/>
    </sheetView>
  </sheetViews>
  <sheetFormatPr baseColWidth="10" defaultRowHeight="15" x14ac:dyDescent="0.25"/>
  <cols>
    <col min="1" max="1" width="11.42578125" style="1"/>
    <col min="2" max="2" width="24.5703125" style="1" customWidth="1"/>
    <col min="3" max="3" width="14.42578125" style="1" bestFit="1" customWidth="1"/>
    <col min="4" max="4" width="12.42578125" style="1" bestFit="1" customWidth="1"/>
    <col min="5" max="5" width="13" style="1" bestFit="1" customWidth="1"/>
    <col min="6" max="6" width="17.140625" style="1" bestFit="1" customWidth="1"/>
    <col min="7" max="7" width="14" style="1" bestFit="1" customWidth="1"/>
    <col min="8" max="9" width="13" style="1" bestFit="1" customWidth="1"/>
    <col min="10" max="11" width="11.42578125" style="1"/>
    <col min="12" max="12" width="15.140625" style="1" bestFit="1" customWidth="1"/>
    <col min="13" max="13" width="12.5703125" style="1" bestFit="1" customWidth="1"/>
    <col min="14" max="16384" width="11.42578125" style="1"/>
  </cols>
  <sheetData>
    <row r="1" spans="1:13" s="2" customFormat="1" x14ac:dyDescent="0.25">
      <c r="A1" s="3" t="s">
        <v>23</v>
      </c>
      <c r="B1" s="3"/>
      <c r="C1" s="3" t="s">
        <v>176</v>
      </c>
      <c r="D1" s="3"/>
      <c r="E1" s="137"/>
    </row>
    <row r="3" spans="1:13" x14ac:dyDescent="0.25">
      <c r="B3" s="174" t="s">
        <v>181</v>
      </c>
      <c r="C3" s="45" t="s">
        <v>4</v>
      </c>
      <c r="D3" s="45" t="s">
        <v>3</v>
      </c>
      <c r="E3" s="45" t="s">
        <v>161</v>
      </c>
      <c r="J3" s="10" t="s">
        <v>5</v>
      </c>
      <c r="K3" s="10"/>
      <c r="L3" s="10"/>
      <c r="M3" s="10"/>
    </row>
    <row r="4" spans="1:13" x14ac:dyDescent="0.25">
      <c r="B4" s="208" t="s">
        <v>180</v>
      </c>
      <c r="C4" s="209"/>
      <c r="D4" s="209"/>
      <c r="E4" s="209" t="s">
        <v>32</v>
      </c>
      <c r="J4" s="12" t="s">
        <v>6</v>
      </c>
      <c r="K4" s="13" t="s">
        <v>7</v>
      </c>
      <c r="L4" s="13" t="s">
        <v>8</v>
      </c>
      <c r="M4" s="14" t="s">
        <v>9</v>
      </c>
    </row>
    <row r="5" spans="1:13" x14ac:dyDescent="0.25">
      <c r="I5" s="1" t="s">
        <v>15</v>
      </c>
      <c r="J5" s="40">
        <v>1</v>
      </c>
      <c r="K5" s="41">
        <v>-0.01</v>
      </c>
      <c r="L5" s="41">
        <v>1</v>
      </c>
      <c r="M5" s="42">
        <v>1</v>
      </c>
    </row>
    <row r="6" spans="1:13" x14ac:dyDescent="0.25">
      <c r="I6" s="1" t="s">
        <v>16</v>
      </c>
      <c r="J6" s="15">
        <v>1</v>
      </c>
      <c r="K6" s="16">
        <v>-0.01</v>
      </c>
      <c r="L6" s="16">
        <v>1</v>
      </c>
      <c r="M6" s="17">
        <v>1</v>
      </c>
    </row>
    <row r="8" spans="1:13" s="161" customFormat="1" ht="21" customHeight="1" x14ac:dyDescent="0.25">
      <c r="B8" s="108" t="s">
        <v>51</v>
      </c>
      <c r="C8" s="144" t="s">
        <v>183</v>
      </c>
      <c r="D8" s="144"/>
      <c r="E8" s="144"/>
      <c r="F8" s="144"/>
      <c r="G8" s="144"/>
      <c r="H8" s="145"/>
    </row>
    <row r="9" spans="1:13" s="161" customFormat="1" ht="84.75" customHeight="1" x14ac:dyDescent="0.25">
      <c r="B9" s="109" t="s">
        <v>52</v>
      </c>
      <c r="C9" s="153" t="s">
        <v>263</v>
      </c>
      <c r="D9" s="146"/>
      <c r="E9" s="146"/>
      <c r="F9" s="146"/>
      <c r="G9" s="146"/>
      <c r="H9" s="147"/>
    </row>
    <row r="10" spans="1:13" s="161" customFormat="1" ht="33" customHeight="1" x14ac:dyDescent="0.25">
      <c r="B10" s="109" t="s">
        <v>53</v>
      </c>
      <c r="C10" s="146" t="s">
        <v>264</v>
      </c>
      <c r="D10" s="146"/>
      <c r="E10" s="146"/>
      <c r="F10" s="146"/>
      <c r="G10" s="146"/>
      <c r="H10" s="147"/>
    </row>
    <row r="11" spans="1:13" s="161" customFormat="1" ht="45" customHeight="1" x14ac:dyDescent="0.25">
      <c r="B11" s="109" t="s">
        <v>143</v>
      </c>
      <c r="C11" s="158" t="s">
        <v>184</v>
      </c>
      <c r="D11" s="158"/>
      <c r="E11" s="158"/>
      <c r="F11" s="158"/>
      <c r="G11" s="158"/>
      <c r="H11" s="159"/>
    </row>
    <row r="12" spans="1:13" s="161" customFormat="1" ht="33.75" customHeight="1" x14ac:dyDescent="0.25">
      <c r="B12" s="109" t="s">
        <v>145</v>
      </c>
      <c r="C12" s="146" t="s">
        <v>144</v>
      </c>
      <c r="D12" s="146"/>
      <c r="E12" s="146"/>
      <c r="F12" s="146"/>
      <c r="G12" s="146"/>
      <c r="H12" s="147"/>
    </row>
    <row r="13" spans="1:13" s="161" customFormat="1" ht="15" customHeight="1" x14ac:dyDescent="0.25">
      <c r="B13" s="110" t="s">
        <v>54</v>
      </c>
      <c r="C13" s="148" t="s">
        <v>58</v>
      </c>
      <c r="D13" s="148"/>
      <c r="E13" s="148"/>
      <c r="F13" s="148"/>
      <c r="G13" s="148"/>
      <c r="H13" s="149"/>
    </row>
    <row r="15" spans="1:13" ht="15" customHeight="1" x14ac:dyDescent="0.25">
      <c r="B15" s="312" t="s">
        <v>262</v>
      </c>
      <c r="C15" s="313"/>
      <c r="D15" s="313"/>
      <c r="E15" s="313"/>
      <c r="F15" s="313"/>
      <c r="G15" s="313"/>
      <c r="H15" s="314"/>
    </row>
    <row r="16" spans="1:13" x14ac:dyDescent="0.25">
      <c r="B16" s="310"/>
      <c r="C16" s="311"/>
      <c r="D16" s="311"/>
      <c r="E16" s="311"/>
      <c r="F16" s="311"/>
      <c r="G16" s="311"/>
      <c r="H16" s="315"/>
    </row>
    <row r="17" spans="2:11" x14ac:dyDescent="0.25">
      <c r="B17" s="310"/>
      <c r="C17" s="311"/>
      <c r="D17" s="311"/>
      <c r="E17" s="311"/>
      <c r="F17" s="311"/>
      <c r="G17" s="311"/>
      <c r="H17" s="315"/>
    </row>
    <row r="18" spans="2:11" x14ac:dyDescent="0.25">
      <c r="B18" s="310"/>
      <c r="C18" s="311"/>
      <c r="D18" s="311"/>
      <c r="E18" s="311"/>
      <c r="F18" s="311"/>
      <c r="G18" s="311"/>
      <c r="H18" s="315"/>
    </row>
    <row r="19" spans="2:11" x14ac:dyDescent="0.25">
      <c r="B19" s="310"/>
      <c r="C19" s="311"/>
      <c r="D19" s="311"/>
      <c r="E19" s="311"/>
      <c r="F19" s="311"/>
      <c r="G19" s="311"/>
      <c r="H19" s="315"/>
    </row>
    <row r="20" spans="2:11" x14ac:dyDescent="0.25">
      <c r="B20" s="316"/>
      <c r="C20" s="317"/>
      <c r="D20" s="317"/>
      <c r="E20" s="317"/>
      <c r="F20" s="317"/>
      <c r="G20" s="317"/>
      <c r="H20" s="318"/>
    </row>
    <row r="23" spans="2:11" x14ac:dyDescent="0.25">
      <c r="B23" s="59" t="s">
        <v>34</v>
      </c>
      <c r="C23" s="1" t="s">
        <v>185</v>
      </c>
    </row>
    <row r="24" spans="2:11" x14ac:dyDescent="0.25">
      <c r="B24" s="60"/>
      <c r="C24" s="143" t="s">
        <v>10</v>
      </c>
      <c r="D24" s="143"/>
      <c r="E24" s="61"/>
      <c r="F24" s="61"/>
      <c r="G24" s="61"/>
      <c r="H24" s="61"/>
      <c r="I24" s="61"/>
      <c r="J24" s="61"/>
      <c r="K24" s="62"/>
    </row>
    <row r="25" spans="2:11" ht="30" x14ac:dyDescent="0.25">
      <c r="B25" s="211"/>
      <c r="C25" s="174" t="s">
        <v>169</v>
      </c>
      <c r="D25" s="64"/>
      <c r="E25" s="64"/>
      <c r="F25" s="64"/>
      <c r="G25" s="64"/>
      <c r="H25" s="64"/>
      <c r="I25" s="64"/>
      <c r="J25" s="64"/>
      <c r="K25" s="65"/>
    </row>
    <row r="26" spans="2:11" x14ac:dyDescent="0.25">
      <c r="B26" s="212" t="s">
        <v>176</v>
      </c>
      <c r="C26" s="213">
        <v>75000</v>
      </c>
      <c r="D26" s="64"/>
      <c r="E26" s="64"/>
      <c r="F26" s="64"/>
      <c r="G26" s="64"/>
      <c r="H26" s="64"/>
      <c r="I26" s="64"/>
      <c r="J26" s="64"/>
      <c r="K26" s="65"/>
    </row>
    <row r="27" spans="2:11" x14ac:dyDescent="0.25">
      <c r="B27" s="175" t="s">
        <v>6</v>
      </c>
      <c r="C27" s="215">
        <v>0.1</v>
      </c>
      <c r="D27" s="64"/>
      <c r="E27" s="64"/>
      <c r="F27" s="64"/>
      <c r="G27" s="64"/>
      <c r="H27" s="64"/>
      <c r="I27" s="64"/>
      <c r="J27" s="64"/>
      <c r="K27" s="65"/>
    </row>
    <row r="28" spans="2:11" x14ac:dyDescent="0.25">
      <c r="B28" s="214" t="s">
        <v>7</v>
      </c>
      <c r="C28" s="215">
        <v>0</v>
      </c>
      <c r="D28" s="64"/>
      <c r="E28" s="64"/>
      <c r="F28" s="64"/>
      <c r="G28" s="64"/>
      <c r="H28" s="64"/>
      <c r="I28" s="64"/>
      <c r="J28" s="64"/>
      <c r="K28" s="65"/>
    </row>
    <row r="29" spans="2:11" x14ac:dyDescent="0.25">
      <c r="B29" s="214" t="s">
        <v>8</v>
      </c>
      <c r="C29" s="215">
        <v>0.05</v>
      </c>
      <c r="D29" s="64"/>
      <c r="E29" s="64"/>
      <c r="F29" s="64"/>
      <c r="G29" s="64"/>
      <c r="H29" s="64"/>
      <c r="I29" s="64"/>
      <c r="J29" s="64"/>
      <c r="K29" s="65"/>
    </row>
    <row r="30" spans="2:11" x14ac:dyDescent="0.25">
      <c r="B30" s="176" t="s">
        <v>124</v>
      </c>
      <c r="C30" s="216">
        <v>2.5000000000000001E-2</v>
      </c>
      <c r="D30" s="64"/>
      <c r="E30" s="64"/>
      <c r="F30" s="64"/>
      <c r="G30" s="64"/>
      <c r="H30" s="64"/>
      <c r="I30" s="64"/>
      <c r="J30" s="64"/>
      <c r="K30" s="65"/>
    </row>
    <row r="31" spans="2:11" x14ac:dyDescent="0.25">
      <c r="B31" s="63"/>
      <c r="C31" s="64" t="s">
        <v>35</v>
      </c>
      <c r="D31" s="64"/>
      <c r="E31" s="64"/>
      <c r="F31" s="64"/>
      <c r="G31" s="64"/>
      <c r="H31" s="64"/>
      <c r="I31" s="64"/>
      <c r="J31" s="64"/>
      <c r="K31" s="189"/>
    </row>
    <row r="32" spans="2:11" ht="42.75" customHeight="1" x14ac:dyDescent="0.25">
      <c r="B32" s="242"/>
      <c r="C32" s="162" t="s">
        <v>11</v>
      </c>
      <c r="D32" s="163" t="s">
        <v>166</v>
      </c>
      <c r="E32" s="163" t="s">
        <v>168</v>
      </c>
      <c r="F32" s="163" t="s">
        <v>167</v>
      </c>
      <c r="G32" s="163" t="s">
        <v>170</v>
      </c>
      <c r="H32" s="163" t="s">
        <v>173</v>
      </c>
      <c r="I32" s="164" t="s">
        <v>146</v>
      </c>
      <c r="J32" s="164" t="s">
        <v>147</v>
      </c>
      <c r="K32" s="165" t="s">
        <v>14</v>
      </c>
    </row>
    <row r="33" spans="2:11" x14ac:dyDescent="0.25">
      <c r="B33" s="243" t="s">
        <v>6</v>
      </c>
      <c r="C33" s="217">
        <v>275000</v>
      </c>
      <c r="D33" s="237">
        <f>C27</f>
        <v>0.1</v>
      </c>
      <c r="E33" s="218">
        <f>C33*D33</f>
        <v>27500</v>
      </c>
      <c r="F33" s="235" t="str">
        <f>F37</f>
        <v>NO</v>
      </c>
      <c r="G33" s="218">
        <f>IF($F$37="YES",E33,E33/$E$37*$C$26)</f>
        <v>30397.936624907888</v>
      </c>
      <c r="H33" s="237">
        <f>G33/C33</f>
        <v>0.11053795136330141</v>
      </c>
      <c r="I33" s="219">
        <v>55000</v>
      </c>
      <c r="J33" s="220">
        <f>I33/C33</f>
        <v>0.2</v>
      </c>
      <c r="K33" s="218">
        <f>I33-G33</f>
        <v>24602.063375092112</v>
      </c>
    </row>
    <row r="34" spans="2:11" x14ac:dyDescent="0.25">
      <c r="B34" s="243" t="s">
        <v>7</v>
      </c>
      <c r="C34" s="217">
        <v>125000</v>
      </c>
      <c r="D34" s="237">
        <f t="shared" ref="D34:D36" si="0">C28</f>
        <v>0</v>
      </c>
      <c r="E34" s="218">
        <f t="shared" ref="E34:E36" si="1">C34*D34</f>
        <v>0</v>
      </c>
      <c r="F34" s="235" t="str">
        <f>F37</f>
        <v>NO</v>
      </c>
      <c r="G34" s="218">
        <f t="shared" ref="G34:G36" si="2">IF($F$37="YES",E34,E34/$E$37*$C$26)</f>
        <v>0</v>
      </c>
      <c r="H34" s="237">
        <f t="shared" ref="H34:H36" si="3">G34/C34</f>
        <v>0</v>
      </c>
      <c r="I34" s="219">
        <v>0</v>
      </c>
      <c r="J34" s="220">
        <f t="shared" ref="J34:J36" si="4">I34/C34</f>
        <v>0</v>
      </c>
      <c r="K34" s="218">
        <f t="shared" ref="K34:K36" si="5">I34-G34</f>
        <v>0</v>
      </c>
    </row>
    <row r="35" spans="2:11" x14ac:dyDescent="0.25">
      <c r="B35" s="243" t="s">
        <v>8</v>
      </c>
      <c r="C35" s="221">
        <v>182000</v>
      </c>
      <c r="D35" s="237">
        <f t="shared" si="0"/>
        <v>0.05</v>
      </c>
      <c r="E35" s="218">
        <f t="shared" si="1"/>
        <v>9100</v>
      </c>
      <c r="F35" s="236" t="str">
        <f>F37</f>
        <v>NO</v>
      </c>
      <c r="G35" s="218">
        <f t="shared" si="2"/>
        <v>10058.953574060428</v>
      </c>
      <c r="H35" s="237">
        <f t="shared" si="3"/>
        <v>5.5268975681650699E-2</v>
      </c>
      <c r="I35" s="219">
        <v>9100</v>
      </c>
      <c r="J35" s="220">
        <f t="shared" si="4"/>
        <v>0.05</v>
      </c>
      <c r="K35" s="218">
        <f t="shared" si="5"/>
        <v>-958.95357406042785</v>
      </c>
    </row>
    <row r="36" spans="2:11" ht="15.75" thickBot="1" x14ac:dyDescent="0.3">
      <c r="B36" s="243" t="s">
        <v>124</v>
      </c>
      <c r="C36" s="222">
        <v>1250000</v>
      </c>
      <c r="D36" s="237">
        <f t="shared" si="0"/>
        <v>2.5000000000000001E-2</v>
      </c>
      <c r="E36" s="238">
        <f t="shared" si="1"/>
        <v>31250</v>
      </c>
      <c r="F36" s="239" t="str">
        <f>F37</f>
        <v>NO</v>
      </c>
      <c r="G36" s="218">
        <f t="shared" si="2"/>
        <v>34543.109801031685</v>
      </c>
      <c r="H36" s="237">
        <f t="shared" si="3"/>
        <v>2.763448784082535E-2</v>
      </c>
      <c r="I36" s="219">
        <v>93750</v>
      </c>
      <c r="J36" s="220">
        <f t="shared" si="4"/>
        <v>7.4999999999999997E-2</v>
      </c>
      <c r="K36" s="238">
        <f t="shared" si="5"/>
        <v>59206.890198968315</v>
      </c>
    </row>
    <row r="37" spans="2:11" ht="16.5" thickTop="1" thickBot="1" x14ac:dyDescent="0.3">
      <c r="B37" s="244" t="s">
        <v>186</v>
      </c>
      <c r="C37" s="64"/>
      <c r="D37" s="64"/>
      <c r="E37" s="240">
        <f>SUM(E33:E36)</f>
        <v>67850</v>
      </c>
      <c r="F37" s="241" t="str">
        <f>IF(E37&gt;C26,"YES","NO")</f>
        <v>NO</v>
      </c>
      <c r="G37" s="188">
        <f>SUM(G33:G36)</f>
        <v>75000</v>
      </c>
      <c r="H37" s="64"/>
      <c r="I37" s="64"/>
      <c r="J37" s="64"/>
      <c r="K37" s="245">
        <f>SUM(K33:K36)</f>
        <v>82850</v>
      </c>
    </row>
    <row r="38" spans="2:11" ht="15.75" thickTop="1" x14ac:dyDescent="0.25">
      <c r="B38" s="63"/>
      <c r="C38" s="64"/>
      <c r="D38" s="64"/>
      <c r="E38" s="64"/>
      <c r="F38" s="64"/>
      <c r="G38" s="64"/>
      <c r="H38" s="64"/>
      <c r="I38" s="64"/>
      <c r="J38" s="64"/>
      <c r="K38" s="65"/>
    </row>
    <row r="39" spans="2:11" x14ac:dyDescent="0.25">
      <c r="B39" s="63"/>
      <c r="C39" s="64"/>
      <c r="D39" s="64"/>
      <c r="E39" s="64"/>
      <c r="F39" s="64"/>
      <c r="G39" s="64"/>
      <c r="H39" s="64"/>
      <c r="I39" s="64"/>
      <c r="J39" s="64"/>
      <c r="K39" s="65"/>
    </row>
    <row r="40" spans="2:11" x14ac:dyDescent="0.25">
      <c r="B40" s="63"/>
      <c r="C40" s="64"/>
      <c r="D40" s="64"/>
      <c r="E40" s="64"/>
      <c r="F40" s="64"/>
      <c r="G40" s="64"/>
      <c r="H40" s="64"/>
      <c r="I40" s="64"/>
      <c r="J40" s="64"/>
      <c r="K40" s="65"/>
    </row>
    <row r="41" spans="2:11" x14ac:dyDescent="0.25">
      <c r="B41" s="63"/>
      <c r="C41" s="64"/>
      <c r="D41" s="64"/>
      <c r="E41" s="64"/>
      <c r="F41" s="64"/>
      <c r="G41" s="64"/>
      <c r="H41" s="64"/>
      <c r="I41" s="64"/>
      <c r="J41" s="64"/>
      <c r="K41" s="65"/>
    </row>
    <row r="42" spans="2:11" x14ac:dyDescent="0.25">
      <c r="B42" s="63"/>
      <c r="C42" s="64"/>
      <c r="D42" s="64"/>
      <c r="E42" s="64"/>
      <c r="F42" s="64"/>
      <c r="G42" s="64"/>
      <c r="H42" s="64"/>
      <c r="I42" s="64"/>
      <c r="J42" s="64"/>
      <c r="K42" s="65"/>
    </row>
    <row r="43" spans="2:11" x14ac:dyDescent="0.25">
      <c r="B43" s="66"/>
      <c r="C43" s="67"/>
      <c r="D43" s="67"/>
      <c r="E43" s="67"/>
      <c r="F43" s="67"/>
      <c r="G43" s="67"/>
      <c r="H43" s="67"/>
      <c r="I43" s="67"/>
      <c r="J43" s="67"/>
      <c r="K43" s="68"/>
    </row>
    <row r="45" spans="2:11" x14ac:dyDescent="0.25">
      <c r="B45" s="59" t="s">
        <v>36</v>
      </c>
      <c r="C45" s="1" t="s">
        <v>185</v>
      </c>
    </row>
    <row r="46" spans="2:11" x14ac:dyDescent="0.25">
      <c r="B46" s="60"/>
      <c r="C46" s="143" t="s">
        <v>10</v>
      </c>
      <c r="D46" s="143"/>
      <c r="E46" s="61"/>
      <c r="F46" s="61"/>
      <c r="G46" s="61"/>
      <c r="H46" s="61"/>
      <c r="I46" s="61"/>
      <c r="J46" s="61"/>
      <c r="K46" s="62"/>
    </row>
    <row r="47" spans="2:11" ht="30" x14ac:dyDescent="0.25">
      <c r="B47" s="211"/>
      <c r="C47" s="174" t="s">
        <v>169</v>
      </c>
      <c r="D47" s="64"/>
      <c r="E47" s="64"/>
      <c r="F47" s="64"/>
      <c r="G47" s="64"/>
      <c r="H47" s="64"/>
      <c r="I47" s="64"/>
      <c r="J47" s="64"/>
      <c r="K47" s="65"/>
    </row>
    <row r="48" spans="2:11" x14ac:dyDescent="0.25">
      <c r="B48" s="212" t="s">
        <v>176</v>
      </c>
      <c r="C48" s="213">
        <v>75000</v>
      </c>
      <c r="D48" s="64"/>
      <c r="E48" s="64"/>
      <c r="F48" s="64"/>
      <c r="G48" s="64"/>
      <c r="H48" s="64"/>
      <c r="I48" s="64"/>
      <c r="J48" s="64"/>
      <c r="K48" s="65"/>
    </row>
    <row r="49" spans="2:11" x14ac:dyDescent="0.25">
      <c r="B49" s="175" t="s">
        <v>6</v>
      </c>
      <c r="C49" s="215">
        <v>0.1</v>
      </c>
      <c r="D49" s="64"/>
      <c r="E49" s="64"/>
      <c r="F49" s="64"/>
      <c r="G49" s="64"/>
      <c r="H49" s="64"/>
      <c r="I49" s="64"/>
      <c r="J49" s="64"/>
      <c r="K49" s="65"/>
    </row>
    <row r="50" spans="2:11" x14ac:dyDescent="0.25">
      <c r="B50" s="214" t="s">
        <v>7</v>
      </c>
      <c r="C50" s="215">
        <v>0</v>
      </c>
      <c r="D50" s="64"/>
      <c r="E50" s="64"/>
      <c r="F50" s="64"/>
      <c r="G50" s="64"/>
      <c r="H50" s="64"/>
      <c r="I50" s="64"/>
      <c r="J50" s="64"/>
      <c r="K50" s="65"/>
    </row>
    <row r="51" spans="2:11" x14ac:dyDescent="0.25">
      <c r="B51" s="214" t="s">
        <v>8</v>
      </c>
      <c r="C51" s="215">
        <v>0.05</v>
      </c>
      <c r="D51" s="64"/>
      <c r="E51" s="64"/>
      <c r="F51" s="64"/>
      <c r="G51" s="64"/>
      <c r="H51" s="64"/>
      <c r="I51" s="64"/>
      <c r="J51" s="64"/>
      <c r="K51" s="65"/>
    </row>
    <row r="52" spans="2:11" x14ac:dyDescent="0.25">
      <c r="B52" s="176" t="s">
        <v>124</v>
      </c>
      <c r="C52" s="216">
        <v>2.5000000000000001E-2</v>
      </c>
      <c r="D52" s="64"/>
      <c r="E52" s="64"/>
      <c r="F52" s="64"/>
      <c r="G52" s="64"/>
      <c r="H52" s="64"/>
      <c r="I52" s="64"/>
      <c r="J52" s="64"/>
      <c r="K52" s="65"/>
    </row>
    <row r="53" spans="2:11" x14ac:dyDescent="0.25">
      <c r="B53" s="63"/>
      <c r="C53" s="64" t="s">
        <v>35</v>
      </c>
      <c r="D53" s="64"/>
      <c r="E53" s="64"/>
      <c r="F53" s="64"/>
      <c r="G53" s="64"/>
      <c r="H53" s="64"/>
      <c r="I53" s="64"/>
      <c r="J53" s="64"/>
      <c r="K53" s="189"/>
    </row>
    <row r="54" spans="2:11" ht="42.75" customHeight="1" x14ac:dyDescent="0.25">
      <c r="B54" s="242"/>
      <c r="C54" s="162" t="s">
        <v>11</v>
      </c>
      <c r="D54" s="163" t="s">
        <v>166</v>
      </c>
      <c r="E54" s="163" t="s">
        <v>168</v>
      </c>
      <c r="F54" s="163" t="s">
        <v>167</v>
      </c>
      <c r="G54" s="163" t="s">
        <v>170</v>
      </c>
      <c r="H54" s="163" t="s">
        <v>173</v>
      </c>
      <c r="I54" s="164" t="s">
        <v>146</v>
      </c>
      <c r="J54" s="164" t="s">
        <v>147</v>
      </c>
      <c r="K54" s="165" t="s">
        <v>14</v>
      </c>
    </row>
    <row r="55" spans="2:11" x14ac:dyDescent="0.25">
      <c r="B55" s="243" t="s">
        <v>6</v>
      </c>
      <c r="C55" s="217">
        <v>375000</v>
      </c>
      <c r="D55" s="237">
        <f>C49</f>
        <v>0.1</v>
      </c>
      <c r="E55" s="218">
        <f>C55*D55</f>
        <v>37500</v>
      </c>
      <c r="F55" s="235" t="str">
        <f>F59</f>
        <v>YES</v>
      </c>
      <c r="G55" s="218">
        <f>IF($F$59="YES",E55,E55/$E$59*$C$26)</f>
        <v>37500</v>
      </c>
      <c r="H55" s="237">
        <f>G55/C55</f>
        <v>0.1</v>
      </c>
      <c r="I55" s="219">
        <v>75000</v>
      </c>
      <c r="J55" s="220">
        <f>I55/C55</f>
        <v>0.2</v>
      </c>
      <c r="K55" s="218">
        <f>I55-G55</f>
        <v>37500</v>
      </c>
    </row>
    <row r="56" spans="2:11" x14ac:dyDescent="0.25">
      <c r="B56" s="243" t="s">
        <v>7</v>
      </c>
      <c r="C56" s="217">
        <v>125000</v>
      </c>
      <c r="D56" s="237">
        <f t="shared" ref="D56:D58" si="6">C50</f>
        <v>0</v>
      </c>
      <c r="E56" s="218">
        <f t="shared" ref="E56:E58" si="7">C56*D56</f>
        <v>0</v>
      </c>
      <c r="F56" s="235" t="str">
        <f>F59</f>
        <v>YES</v>
      </c>
      <c r="G56" s="218">
        <f t="shared" ref="G56:G58" si="8">IF($F$59="YES",E56,E56/$E$59*$C$26)</f>
        <v>0</v>
      </c>
      <c r="H56" s="237">
        <f t="shared" ref="H56:H58" si="9">G56/C56</f>
        <v>0</v>
      </c>
      <c r="I56" s="219">
        <v>0</v>
      </c>
      <c r="J56" s="220">
        <f t="shared" ref="J56:J58" si="10">I56/C56</f>
        <v>0</v>
      </c>
      <c r="K56" s="218">
        <f t="shared" ref="K56:K58" si="11">I56-G56</f>
        <v>0</v>
      </c>
    </row>
    <row r="57" spans="2:11" x14ac:dyDescent="0.25">
      <c r="B57" s="243" t="s">
        <v>8</v>
      </c>
      <c r="C57" s="221">
        <v>182000</v>
      </c>
      <c r="D57" s="237">
        <f t="shared" si="6"/>
        <v>0.05</v>
      </c>
      <c r="E57" s="218">
        <f t="shared" si="7"/>
        <v>9100</v>
      </c>
      <c r="F57" s="236" t="str">
        <f>F59</f>
        <v>YES</v>
      </c>
      <c r="G57" s="218">
        <f t="shared" si="8"/>
        <v>9100</v>
      </c>
      <c r="H57" s="237">
        <f t="shared" si="9"/>
        <v>0.05</v>
      </c>
      <c r="I57" s="219">
        <v>9100</v>
      </c>
      <c r="J57" s="220">
        <f t="shared" si="10"/>
        <v>0.05</v>
      </c>
      <c r="K57" s="218">
        <f t="shared" si="11"/>
        <v>0</v>
      </c>
    </row>
    <row r="58" spans="2:11" ht="15.75" thickBot="1" x14ac:dyDescent="0.3">
      <c r="B58" s="243" t="s">
        <v>124</v>
      </c>
      <c r="C58" s="222">
        <v>1250000</v>
      </c>
      <c r="D58" s="237">
        <f t="shared" si="6"/>
        <v>2.5000000000000001E-2</v>
      </c>
      <c r="E58" s="238">
        <f t="shared" si="7"/>
        <v>31250</v>
      </c>
      <c r="F58" s="239" t="str">
        <f>F59</f>
        <v>YES</v>
      </c>
      <c r="G58" s="218">
        <f t="shared" si="8"/>
        <v>31250</v>
      </c>
      <c r="H58" s="237">
        <f t="shared" si="9"/>
        <v>2.5000000000000001E-2</v>
      </c>
      <c r="I58" s="219">
        <v>93750</v>
      </c>
      <c r="J58" s="220">
        <f t="shared" si="10"/>
        <v>7.4999999999999997E-2</v>
      </c>
      <c r="K58" s="238">
        <f t="shared" si="11"/>
        <v>62500</v>
      </c>
    </row>
    <row r="59" spans="2:11" ht="16.5" thickTop="1" thickBot="1" x14ac:dyDescent="0.3">
      <c r="B59" s="244" t="s">
        <v>186</v>
      </c>
      <c r="C59" s="64"/>
      <c r="D59" s="64"/>
      <c r="E59" s="240">
        <f>SUM(E55:E58)</f>
        <v>77850</v>
      </c>
      <c r="F59" s="241" t="str">
        <f>IF(E59&gt;C48,"YES","NO")</f>
        <v>YES</v>
      </c>
      <c r="G59" s="188">
        <f>SUM(G55:G58)</f>
        <v>77850</v>
      </c>
      <c r="H59" s="64"/>
      <c r="I59" s="64"/>
      <c r="J59" s="64"/>
      <c r="K59" s="245">
        <f>SUM(K55:K58)</f>
        <v>100000</v>
      </c>
    </row>
    <row r="60" spans="2:11" ht="15.75" thickTop="1" x14ac:dyDescent="0.25">
      <c r="B60" s="63"/>
      <c r="C60" s="64"/>
      <c r="D60" s="64"/>
      <c r="E60" s="64"/>
      <c r="F60" s="64"/>
      <c r="G60" s="64"/>
      <c r="H60" s="64"/>
      <c r="I60" s="64"/>
      <c r="J60" s="64"/>
      <c r="K60" s="65"/>
    </row>
    <row r="61" spans="2:11" x14ac:dyDescent="0.25">
      <c r="B61" s="63"/>
      <c r="C61" s="64"/>
      <c r="D61" s="64"/>
      <c r="E61" s="64"/>
      <c r="F61" s="64"/>
      <c r="G61" s="64"/>
      <c r="H61" s="64"/>
      <c r="I61" s="64"/>
      <c r="J61" s="64"/>
      <c r="K61" s="65"/>
    </row>
    <row r="62" spans="2:11" x14ac:dyDescent="0.25">
      <c r="B62" s="63"/>
      <c r="C62" s="64"/>
      <c r="D62" s="64"/>
      <c r="E62" s="64"/>
      <c r="F62" s="64"/>
      <c r="G62" s="64"/>
      <c r="H62" s="64"/>
      <c r="I62" s="64"/>
      <c r="J62" s="64"/>
      <c r="K62" s="65"/>
    </row>
    <row r="63" spans="2:11" x14ac:dyDescent="0.25">
      <c r="B63" s="63"/>
      <c r="C63" s="64"/>
      <c r="D63" s="64"/>
      <c r="E63" s="64"/>
      <c r="F63" s="64"/>
      <c r="G63" s="64"/>
      <c r="H63" s="64"/>
      <c r="I63" s="64"/>
      <c r="J63" s="64"/>
      <c r="K63" s="65"/>
    </row>
    <row r="64" spans="2:11" x14ac:dyDescent="0.25">
      <c r="B64" s="63"/>
      <c r="C64" s="64"/>
      <c r="D64" s="64"/>
      <c r="E64" s="64"/>
      <c r="F64" s="64"/>
      <c r="G64" s="64"/>
      <c r="H64" s="64"/>
      <c r="I64" s="64"/>
      <c r="J64" s="64"/>
      <c r="K64" s="65"/>
    </row>
    <row r="65" spans="2:11" x14ac:dyDescent="0.25">
      <c r="B65" s="66"/>
      <c r="C65" s="67"/>
      <c r="D65" s="67"/>
      <c r="E65" s="67"/>
      <c r="F65" s="67"/>
      <c r="G65" s="67"/>
      <c r="H65" s="67"/>
      <c r="I65" s="67"/>
      <c r="J65" s="67"/>
      <c r="K65" s="68"/>
    </row>
  </sheetData>
  <mergeCells count="9">
    <mergeCell ref="C24:D24"/>
    <mergeCell ref="C46:D46"/>
    <mergeCell ref="B15:H20"/>
    <mergeCell ref="C8:H8"/>
    <mergeCell ref="C9:H9"/>
    <mergeCell ref="C10:H10"/>
    <mergeCell ref="C11:H11"/>
    <mergeCell ref="C12:H12"/>
    <mergeCell ref="C13:H13"/>
  </mergeCell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2" id="{BA3F01E7-FBF9-4149-8DB3-7B45B004F8C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F8E6A35E-AB52-4317-B679-F4903363C755}">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86420-61EE-4145-B48C-A914EB9BFEFC}">
  <sheetPr>
    <tabColor theme="5" tint="-0.249977111117893"/>
  </sheetPr>
  <dimension ref="A1:M37"/>
  <sheetViews>
    <sheetView workbookViewId="0">
      <selection activeCell="B3" sqref="B3:C4"/>
    </sheetView>
  </sheetViews>
  <sheetFormatPr baseColWidth="10" defaultColWidth="9.140625" defaultRowHeight="15" x14ac:dyDescent="0.25"/>
  <cols>
    <col min="1" max="1" width="18.140625" style="1" customWidth="1"/>
    <col min="2" max="2" width="16.28515625" style="1" bestFit="1" customWidth="1"/>
    <col min="3" max="4" width="10.5703125" style="1" bestFit="1" customWidth="1"/>
    <col min="5" max="5" width="13.28515625" style="1" customWidth="1"/>
    <col min="6" max="6" width="12.5703125" style="1" customWidth="1"/>
    <col min="7" max="7" width="15.5703125" style="1" customWidth="1"/>
    <col min="8" max="8" width="9.140625" style="1"/>
    <col min="9" max="10" width="10.5703125" style="1" bestFit="1" customWidth="1"/>
    <col min="11" max="11" width="9.140625" style="1"/>
    <col min="12" max="12" width="12.28515625" style="1" customWidth="1"/>
    <col min="13" max="13" width="10.5703125" style="1" bestFit="1" customWidth="1"/>
    <col min="14" max="16384" width="9.140625" style="1"/>
  </cols>
  <sheetData>
    <row r="1" spans="1:13" s="2" customFormat="1" x14ac:dyDescent="0.25">
      <c r="A1" s="3" t="s">
        <v>23</v>
      </c>
      <c r="B1" s="3"/>
      <c r="C1" s="3" t="s">
        <v>266</v>
      </c>
      <c r="D1" s="3"/>
      <c r="E1" s="137"/>
    </row>
    <row r="3" spans="1:13" ht="45" x14ac:dyDescent="0.25">
      <c r="B3" s="174" t="s">
        <v>181</v>
      </c>
      <c r="C3" s="45" t="s">
        <v>4</v>
      </c>
      <c r="D3" s="45" t="s">
        <v>205</v>
      </c>
      <c r="E3" s="45" t="s">
        <v>123</v>
      </c>
      <c r="J3" s="10" t="s">
        <v>5</v>
      </c>
      <c r="K3" s="10"/>
      <c r="L3" s="10"/>
      <c r="M3" s="10"/>
    </row>
    <row r="4" spans="1:13" x14ac:dyDescent="0.25">
      <c r="B4" s="208" t="s">
        <v>196</v>
      </c>
      <c r="C4" s="209"/>
      <c r="D4" s="209" t="s">
        <v>32</v>
      </c>
      <c r="E4" s="209" t="s">
        <v>32</v>
      </c>
      <c r="J4" s="12" t="s">
        <v>6</v>
      </c>
      <c r="K4" s="13" t="s">
        <v>7</v>
      </c>
      <c r="L4" s="13" t="s">
        <v>8</v>
      </c>
      <c r="M4" s="14" t="s">
        <v>9</v>
      </c>
    </row>
    <row r="5" spans="1:13" x14ac:dyDescent="0.25">
      <c r="I5" s="1" t="s">
        <v>15</v>
      </c>
      <c r="J5" s="40">
        <v>1</v>
      </c>
      <c r="K5" s="41">
        <v>-0.01</v>
      </c>
      <c r="L5" s="41">
        <v>1</v>
      </c>
      <c r="M5" s="42">
        <v>1</v>
      </c>
    </row>
    <row r="6" spans="1:13" x14ac:dyDescent="0.25">
      <c r="I6" s="1" t="s">
        <v>16</v>
      </c>
      <c r="J6" s="15">
        <v>1</v>
      </c>
      <c r="K6" s="16">
        <v>-0.01</v>
      </c>
      <c r="L6" s="16">
        <v>1</v>
      </c>
      <c r="M6" s="17">
        <v>1</v>
      </c>
    </row>
    <row r="8" spans="1:13" s="161" customFormat="1" ht="49.5" customHeight="1" x14ac:dyDescent="0.25">
      <c r="B8" s="108" t="s">
        <v>51</v>
      </c>
      <c r="C8" s="144" t="s">
        <v>267</v>
      </c>
      <c r="D8" s="144"/>
      <c r="E8" s="144"/>
      <c r="F8" s="144"/>
      <c r="G8" s="144"/>
      <c r="H8" s="145"/>
    </row>
    <row r="9" spans="1:13" s="161" customFormat="1" ht="65.25" customHeight="1" x14ac:dyDescent="0.25">
      <c r="B9" s="109" t="s">
        <v>52</v>
      </c>
      <c r="C9" s="153" t="s">
        <v>268</v>
      </c>
      <c r="D9" s="146"/>
      <c r="E9" s="146"/>
      <c r="F9" s="146"/>
      <c r="G9" s="146"/>
      <c r="H9" s="147"/>
    </row>
    <row r="10" spans="1:13" s="161" customFormat="1" ht="33" customHeight="1" x14ac:dyDescent="0.25">
      <c r="B10" s="109" t="s">
        <v>53</v>
      </c>
      <c r="C10" s="146" t="s">
        <v>269</v>
      </c>
      <c r="D10" s="146"/>
      <c r="E10" s="146"/>
      <c r="F10" s="146"/>
      <c r="G10" s="146"/>
      <c r="H10" s="147"/>
    </row>
    <row r="11" spans="1:13" s="161" customFormat="1" ht="75.75" customHeight="1" x14ac:dyDescent="0.25">
      <c r="B11" s="109" t="s">
        <v>143</v>
      </c>
      <c r="C11" s="307" t="s">
        <v>225</v>
      </c>
      <c r="D11" s="158"/>
      <c r="E11" s="158"/>
      <c r="F11" s="158"/>
      <c r="G11" s="158"/>
      <c r="H11" s="159"/>
    </row>
    <row r="12" spans="1:13" s="161" customFormat="1" ht="33.75" customHeight="1" x14ac:dyDescent="0.25">
      <c r="B12" s="109" t="s">
        <v>145</v>
      </c>
      <c r="C12" s="146" t="s">
        <v>232</v>
      </c>
      <c r="D12" s="146"/>
      <c r="E12" s="146"/>
      <c r="F12" s="146"/>
      <c r="G12" s="146"/>
      <c r="H12" s="147"/>
    </row>
    <row r="13" spans="1:13" s="161" customFormat="1" ht="30" customHeight="1" x14ac:dyDescent="0.25">
      <c r="B13" s="110" t="s">
        <v>54</v>
      </c>
      <c r="C13" s="148" t="s">
        <v>58</v>
      </c>
      <c r="D13" s="148"/>
      <c r="E13" s="148"/>
      <c r="F13" s="148"/>
      <c r="G13" s="148"/>
      <c r="H13" s="149"/>
    </row>
    <row r="15" spans="1:13" ht="15" customHeight="1" x14ac:dyDescent="0.25">
      <c r="B15" s="312" t="s">
        <v>265</v>
      </c>
      <c r="C15" s="313"/>
      <c r="D15" s="313"/>
      <c r="E15" s="313"/>
      <c r="F15" s="313"/>
      <c r="G15" s="313"/>
      <c r="H15" s="314"/>
    </row>
    <row r="16" spans="1:13" x14ac:dyDescent="0.25">
      <c r="B16" s="310"/>
      <c r="C16" s="311"/>
      <c r="D16" s="311"/>
      <c r="E16" s="311"/>
      <c r="F16" s="311"/>
      <c r="G16" s="311"/>
      <c r="H16" s="315"/>
    </row>
    <row r="17" spans="2:12" x14ac:dyDescent="0.25">
      <c r="B17" s="310"/>
      <c r="C17" s="311"/>
      <c r="D17" s="311"/>
      <c r="E17" s="311"/>
      <c r="F17" s="311"/>
      <c r="G17" s="311"/>
      <c r="H17" s="315"/>
    </row>
    <row r="18" spans="2:12" x14ac:dyDescent="0.25">
      <c r="B18" s="310"/>
      <c r="C18" s="311"/>
      <c r="D18" s="311"/>
      <c r="E18" s="311"/>
      <c r="F18" s="311"/>
      <c r="G18" s="311"/>
      <c r="H18" s="315"/>
    </row>
    <row r="19" spans="2:12" x14ac:dyDescent="0.25">
      <c r="B19" s="310"/>
      <c r="C19" s="311"/>
      <c r="D19" s="311"/>
      <c r="E19" s="311"/>
      <c r="F19" s="311"/>
      <c r="G19" s="311"/>
      <c r="H19" s="315"/>
    </row>
    <row r="20" spans="2:12" x14ac:dyDescent="0.25">
      <c r="B20" s="316"/>
      <c r="C20" s="317"/>
      <c r="D20" s="317"/>
      <c r="E20" s="317"/>
      <c r="F20" s="317"/>
      <c r="G20" s="317"/>
      <c r="H20" s="318"/>
    </row>
    <row r="22" spans="2:12" x14ac:dyDescent="0.25">
      <c r="B22" s="59" t="s">
        <v>34</v>
      </c>
    </row>
    <row r="23" spans="2:12" x14ac:dyDescent="0.25">
      <c r="B23" s="271" t="s">
        <v>199</v>
      </c>
      <c r="C23" s="333" t="s">
        <v>15</v>
      </c>
      <c r="D23" s="334"/>
      <c r="E23" s="334"/>
      <c r="F23" s="334"/>
      <c r="G23" s="335"/>
      <c r="H23" s="336" t="s">
        <v>16</v>
      </c>
      <c r="I23" s="337"/>
      <c r="J23" s="337"/>
      <c r="K23" s="337"/>
      <c r="L23" s="338"/>
    </row>
    <row r="24" spans="2:12" ht="33" customHeight="1" x14ac:dyDescent="0.25">
      <c r="B24" s="272"/>
      <c r="C24" s="291" t="s">
        <v>270</v>
      </c>
      <c r="D24" s="288">
        <v>60000</v>
      </c>
      <c r="E24" s="289"/>
      <c r="F24" s="290" t="s">
        <v>203</v>
      </c>
      <c r="G24" s="292" t="s">
        <v>200</v>
      </c>
      <c r="H24" s="291" t="s">
        <v>270</v>
      </c>
      <c r="I24" s="288">
        <v>60000</v>
      </c>
      <c r="J24" s="289"/>
      <c r="K24" s="290" t="s">
        <v>203</v>
      </c>
      <c r="L24" s="284" t="s">
        <v>200</v>
      </c>
    </row>
    <row r="25" spans="2:12" x14ac:dyDescent="0.25">
      <c r="B25" s="63" t="s">
        <v>6</v>
      </c>
      <c r="C25" s="293">
        <v>150000</v>
      </c>
      <c r="D25" s="285">
        <v>0.8</v>
      </c>
      <c r="E25" s="273">
        <f>D25*$D$24</f>
        <v>48000</v>
      </c>
      <c r="F25" s="269">
        <f>E25/C25</f>
        <v>0.32</v>
      </c>
      <c r="G25" s="294">
        <v>0.15</v>
      </c>
      <c r="H25" s="293">
        <v>90000</v>
      </c>
      <c r="I25" s="285">
        <v>0.55000000000000004</v>
      </c>
      <c r="J25" s="273">
        <f>I25*$D$24</f>
        <v>33000</v>
      </c>
      <c r="K25" s="269">
        <f>J25/H25</f>
        <v>0.36666666666666664</v>
      </c>
      <c r="L25" s="276">
        <v>0.15</v>
      </c>
    </row>
    <row r="26" spans="2:12" x14ac:dyDescent="0.25">
      <c r="B26" s="63" t="s">
        <v>8</v>
      </c>
      <c r="C26" s="295">
        <v>80000</v>
      </c>
      <c r="D26" s="286">
        <v>0.05</v>
      </c>
      <c r="E26" s="269">
        <f>D26*$D$24</f>
        <v>3000</v>
      </c>
      <c r="F26" s="269">
        <f t="shared" ref="F26:F27" si="0">E26/C26</f>
        <v>3.7499999999999999E-2</v>
      </c>
      <c r="G26" s="294">
        <v>0.05</v>
      </c>
      <c r="H26" s="295">
        <v>250000</v>
      </c>
      <c r="I26" s="286">
        <v>0.35</v>
      </c>
      <c r="J26" s="269">
        <f>I26*$D$24</f>
        <v>21000</v>
      </c>
      <c r="K26" s="269">
        <f t="shared" ref="K26:K27" si="1">J26/H26</f>
        <v>8.4000000000000005E-2</v>
      </c>
      <c r="L26" s="276">
        <v>0.05</v>
      </c>
    </row>
    <row r="27" spans="2:12" x14ac:dyDescent="0.25">
      <c r="B27" s="66" t="s">
        <v>124</v>
      </c>
      <c r="C27" s="296">
        <v>700000</v>
      </c>
      <c r="D27" s="287">
        <f>1-D25-D26</f>
        <v>0.14999999999999997</v>
      </c>
      <c r="E27" s="270">
        <f>D27*$D$24</f>
        <v>8999.9999999999982</v>
      </c>
      <c r="F27" s="270">
        <f t="shared" si="0"/>
        <v>1.2857142857142855E-2</v>
      </c>
      <c r="G27" s="297">
        <v>0.01</v>
      </c>
      <c r="H27" s="296">
        <v>600000</v>
      </c>
      <c r="I27" s="287">
        <v>0.1</v>
      </c>
      <c r="J27" s="270">
        <f>I27*$D$24</f>
        <v>6000</v>
      </c>
      <c r="K27" s="270">
        <f t="shared" si="1"/>
        <v>0.01</v>
      </c>
      <c r="L27" s="277">
        <v>0.01</v>
      </c>
    </row>
    <row r="28" spans="2:12" ht="15.75" thickBot="1" x14ac:dyDescent="0.3">
      <c r="B28" s="66"/>
      <c r="C28" s="298">
        <f>SUM(C25:C27)</f>
        <v>930000</v>
      </c>
      <c r="D28" s="299">
        <f>SUM(D25:D27)</f>
        <v>1</v>
      </c>
      <c r="E28" s="300">
        <f>SUM(E25:E27)</f>
        <v>60000</v>
      </c>
      <c r="F28" s="301"/>
      <c r="G28" s="302"/>
      <c r="H28" s="303">
        <f>SUM(H25:H27)</f>
        <v>940000</v>
      </c>
      <c r="I28" s="304">
        <f>SUM(I25:I27)</f>
        <v>1</v>
      </c>
      <c r="J28" s="305">
        <f>SUM(J25:J27)</f>
        <v>60000</v>
      </c>
      <c r="K28" s="301"/>
      <c r="L28" s="330"/>
    </row>
    <row r="29" spans="2:12" x14ac:dyDescent="0.25">
      <c r="B29" s="63"/>
      <c r="C29" s="64"/>
      <c r="D29" s="331" t="s">
        <v>271</v>
      </c>
      <c r="E29" s="332"/>
      <c r="F29" s="332"/>
      <c r="G29" s="332"/>
      <c r="H29" s="64"/>
      <c r="I29" s="64"/>
      <c r="J29" s="64"/>
      <c r="K29" s="64"/>
      <c r="L29" s="65"/>
    </row>
    <row r="30" spans="2:12" x14ac:dyDescent="0.25">
      <c r="B30" s="283" t="s">
        <v>197</v>
      </c>
      <c r="C30" s="263" t="s">
        <v>15</v>
      </c>
      <c r="D30" s="263"/>
      <c r="E30" s="264"/>
      <c r="F30" s="64"/>
      <c r="G30" s="64"/>
      <c r="H30" s="262" t="s">
        <v>16</v>
      </c>
      <c r="I30" s="263"/>
      <c r="J30" s="264"/>
      <c r="K30" s="64"/>
      <c r="L30" s="65"/>
    </row>
    <row r="31" spans="2:12" ht="45" x14ac:dyDescent="0.25">
      <c r="B31" s="265" t="s">
        <v>195</v>
      </c>
      <c r="C31" s="281" t="s">
        <v>202</v>
      </c>
      <c r="D31" s="282" t="s">
        <v>201</v>
      </c>
      <c r="E31" s="306" t="s">
        <v>204</v>
      </c>
      <c r="F31" s="64"/>
      <c r="G31" s="64"/>
      <c r="H31" s="281" t="s">
        <v>202</v>
      </c>
      <c r="I31" s="282" t="s">
        <v>201</v>
      </c>
      <c r="J31" s="306" t="s">
        <v>204</v>
      </c>
      <c r="K31" s="64"/>
      <c r="L31" s="65"/>
    </row>
    <row r="32" spans="2:12" x14ac:dyDescent="0.25">
      <c r="B32" s="266" t="s">
        <v>6</v>
      </c>
      <c r="C32" s="274">
        <v>200000</v>
      </c>
      <c r="D32" s="278">
        <f>IF(C32&lt;C25,E25/C32,(E25+(C32-C25)*G25)/C32)</f>
        <v>0.27750000000000002</v>
      </c>
      <c r="E32" s="269">
        <f>C32*D32</f>
        <v>55500.000000000007</v>
      </c>
      <c r="F32" s="64"/>
      <c r="G32" s="64"/>
      <c r="H32" s="274">
        <v>100000</v>
      </c>
      <c r="I32" s="278">
        <f>IF(H32&lt;H25,J25/H32,(J25+(H32-H25)*L25)/H32)</f>
        <v>0.34499999999999997</v>
      </c>
      <c r="J32" s="269">
        <f>H32*I32</f>
        <v>34500</v>
      </c>
      <c r="K32" s="64"/>
      <c r="L32" s="65"/>
    </row>
    <row r="33" spans="2:12" x14ac:dyDescent="0.25">
      <c r="B33" s="266" t="s">
        <v>8</v>
      </c>
      <c r="C33" s="274">
        <v>120000</v>
      </c>
      <c r="D33" s="278">
        <f>IF(C33&lt;C26,E26/C33,(E26+(C33-C26)*G26)/C33)</f>
        <v>4.1666666666666664E-2</v>
      </c>
      <c r="E33" s="269">
        <f>C33*D33</f>
        <v>5000</v>
      </c>
      <c r="F33" s="64"/>
      <c r="G33" s="64"/>
      <c r="H33" s="274">
        <v>200000</v>
      </c>
      <c r="I33" s="278">
        <f>IF(H33&lt;H26,J26/H33,(J26+(H33-H26)*L26)/H33)</f>
        <v>0.105</v>
      </c>
      <c r="J33" s="269">
        <f>H33*I33</f>
        <v>21000</v>
      </c>
      <c r="K33" s="339"/>
      <c r="L33" s="65"/>
    </row>
    <row r="34" spans="2:12" ht="15.75" thickBot="1" x14ac:dyDescent="0.3">
      <c r="B34" s="267" t="s">
        <v>124</v>
      </c>
      <c r="C34" s="275">
        <v>1600000</v>
      </c>
      <c r="D34" s="279">
        <f>IF(C34&lt;C27,E27/C34,(E27+(C34-C27)*G27)/C34)</f>
        <v>1.125E-2</v>
      </c>
      <c r="E34" s="270">
        <f>C34*D34</f>
        <v>18000</v>
      </c>
      <c r="F34" s="64"/>
      <c r="G34" s="64"/>
      <c r="H34" s="275">
        <v>550000</v>
      </c>
      <c r="I34" s="279">
        <f>IF(H34&lt;H27,J27/H34,(J27+(H34-H27)*L27)/H34)</f>
        <v>1.090909090909091E-2</v>
      </c>
      <c r="J34" s="270">
        <f>H34*I34</f>
        <v>6000.0000000000009</v>
      </c>
      <c r="K34" s="64"/>
      <c r="L34" s="65"/>
    </row>
    <row r="35" spans="2:12" ht="15.75" thickTop="1" x14ac:dyDescent="0.25">
      <c r="B35" s="268" t="s">
        <v>198</v>
      </c>
      <c r="C35" s="280">
        <f>SUM(C32:C34)</f>
        <v>1920000</v>
      </c>
      <c r="D35" s="68"/>
      <c r="E35" s="270">
        <f>SUM(E32:E34)</f>
        <v>78500</v>
      </c>
      <c r="F35" s="64"/>
      <c r="G35" s="64"/>
      <c r="H35" s="280">
        <f>SUM(H32:H34)</f>
        <v>850000</v>
      </c>
      <c r="I35" s="68"/>
      <c r="J35" s="270">
        <f>SUM(J32:J34)</f>
        <v>61500</v>
      </c>
      <c r="K35" s="64"/>
      <c r="L35" s="65"/>
    </row>
    <row r="36" spans="2:12" x14ac:dyDescent="0.25">
      <c r="B36" s="63"/>
      <c r="C36" s="64"/>
      <c r="D36" s="64"/>
      <c r="E36" s="64"/>
      <c r="F36" s="64"/>
      <c r="G36" s="64"/>
      <c r="H36" s="64"/>
      <c r="I36" s="64"/>
      <c r="J36" s="64"/>
      <c r="K36" s="64"/>
      <c r="L36" s="65"/>
    </row>
    <row r="37" spans="2:12" x14ac:dyDescent="0.25">
      <c r="B37" s="66"/>
      <c r="C37" s="67"/>
      <c r="D37" s="67"/>
      <c r="E37" s="67"/>
      <c r="F37" s="67"/>
      <c r="G37" s="67"/>
      <c r="H37" s="67"/>
      <c r="I37" s="67"/>
      <c r="J37" s="67"/>
      <c r="K37" s="67"/>
      <c r="L37" s="68"/>
    </row>
  </sheetData>
  <mergeCells count="14">
    <mergeCell ref="B15:H20"/>
    <mergeCell ref="C8:H8"/>
    <mergeCell ref="C9:H9"/>
    <mergeCell ref="C10:H10"/>
    <mergeCell ref="C11:H11"/>
    <mergeCell ref="C12:H12"/>
    <mergeCell ref="C13:H13"/>
    <mergeCell ref="C23:G23"/>
    <mergeCell ref="H23:L23"/>
    <mergeCell ref="I24:J24"/>
    <mergeCell ref="C30:E30"/>
    <mergeCell ref="H30:J30"/>
    <mergeCell ref="D24:E24"/>
    <mergeCell ref="B23:B24"/>
  </mergeCell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iconSet" priority="2" id="{2D2C19D9-7887-43B8-B7F5-E0B504F8AA21}">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J5:M5</xm:sqref>
        </x14:conditionalFormatting>
        <x14:conditionalFormatting xmlns:xm="http://schemas.microsoft.com/office/excel/2006/main">
          <x14:cfRule type="iconSet" priority="1" id="{950C29BC-50A0-49BC-AE98-650DE2AE92C7}">
            <x14:iconSet showValue="0" custom="1">
              <x14:cfvo type="percent">
                <xm:f>0</xm:f>
              </x14:cfvo>
              <x14:cfvo type="num">
                <xm:f>0</xm:f>
              </x14:cfvo>
              <x14:cfvo type="num">
                <xm:f>1</xm:f>
              </x14:cfvo>
              <x14:cfIcon iconSet="3TrafficLights1" iconId="1"/>
              <x14:cfIcon iconSet="3TrafficLights1" iconId="0"/>
              <x14:cfIcon iconSet="3TrafficLights1" iconId="2"/>
            </x14:iconSet>
          </x14:cfRule>
          <xm:sqref>J6:M6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BCC9-7613-4394-8643-0742167DFCF2}">
  <sheetPr>
    <tabColor rgb="FF92D050"/>
  </sheetPr>
  <dimension ref="A1:P36"/>
  <sheetViews>
    <sheetView workbookViewId="0">
      <selection activeCell="P21" sqref="P21"/>
    </sheetView>
  </sheetViews>
  <sheetFormatPr baseColWidth="10" defaultRowHeight="15" x14ac:dyDescent="0.25"/>
  <cols>
    <col min="1" max="1" width="11.42578125" style="1"/>
    <col min="2" max="2" width="3.7109375" style="1" bestFit="1" customWidth="1"/>
    <col min="3" max="16384" width="11.42578125" style="1"/>
  </cols>
  <sheetData>
    <row r="1" spans="1:16" s="2" customFormat="1" x14ac:dyDescent="0.25">
      <c r="A1" s="3" t="s">
        <v>272</v>
      </c>
      <c r="B1" s="3"/>
      <c r="C1" s="3" t="s">
        <v>273</v>
      </c>
      <c r="D1" s="3"/>
      <c r="E1" s="137"/>
    </row>
    <row r="4" spans="1:16" ht="15" customHeight="1" x14ac:dyDescent="0.25">
      <c r="B4" s="343" t="s">
        <v>281</v>
      </c>
      <c r="C4" s="60"/>
      <c r="D4" s="61" t="s">
        <v>274</v>
      </c>
      <c r="E4" s="61"/>
      <c r="F4" s="61"/>
      <c r="G4" s="61"/>
      <c r="H4" s="61"/>
      <c r="I4" s="62"/>
      <c r="J4" s="345" t="s">
        <v>284</v>
      </c>
      <c r="K4" s="346"/>
      <c r="L4" s="346"/>
      <c r="M4" s="346"/>
      <c r="N4" s="346"/>
      <c r="O4" s="346"/>
      <c r="P4" s="347"/>
    </row>
    <row r="5" spans="1:16" x14ac:dyDescent="0.25">
      <c r="B5" s="343"/>
      <c r="C5" s="63"/>
      <c r="D5" s="64"/>
      <c r="E5" s="64"/>
      <c r="F5" s="64"/>
      <c r="G5" s="64"/>
      <c r="H5" s="64"/>
      <c r="I5" s="65"/>
      <c r="J5" s="344"/>
      <c r="K5" s="348"/>
      <c r="L5" s="348"/>
      <c r="M5" s="348"/>
      <c r="N5" s="348"/>
      <c r="O5" s="348"/>
      <c r="P5" s="349"/>
    </row>
    <row r="6" spans="1:16" ht="30" x14ac:dyDescent="0.25">
      <c r="B6" s="343"/>
      <c r="C6" s="63"/>
      <c r="D6" s="174" t="s">
        <v>275</v>
      </c>
      <c r="E6" s="45" t="s">
        <v>277</v>
      </c>
      <c r="F6" s="64"/>
      <c r="G6" s="64"/>
      <c r="H6" s="64"/>
      <c r="I6" s="65"/>
      <c r="J6" s="344"/>
      <c r="K6" s="348"/>
      <c r="L6" s="348"/>
      <c r="M6" s="348"/>
      <c r="N6" s="348"/>
      <c r="O6" s="348"/>
      <c r="P6" s="349"/>
    </row>
    <row r="7" spans="1:16" x14ac:dyDescent="0.25">
      <c r="B7" s="343"/>
      <c r="C7" s="63"/>
      <c r="D7" s="208" t="s">
        <v>6</v>
      </c>
      <c r="E7" s="340">
        <v>0.1</v>
      </c>
      <c r="F7" s="64"/>
      <c r="G7" s="64"/>
      <c r="H7" s="64"/>
      <c r="I7" s="65"/>
      <c r="J7" s="344"/>
      <c r="K7" s="348"/>
      <c r="L7" s="348"/>
      <c r="M7" s="348"/>
      <c r="N7" s="348"/>
      <c r="O7" s="348"/>
      <c r="P7" s="349"/>
    </row>
    <row r="8" spans="1:16" x14ac:dyDescent="0.25">
      <c r="B8" s="343"/>
      <c r="C8" s="63"/>
      <c r="D8" s="64" t="s">
        <v>276</v>
      </c>
      <c r="E8" s="64"/>
      <c r="F8" s="64"/>
      <c r="G8" s="64"/>
      <c r="H8" s="64"/>
      <c r="I8" s="65"/>
      <c r="J8" s="344"/>
      <c r="K8" s="348"/>
      <c r="L8" s="348"/>
      <c r="M8" s="348"/>
      <c r="N8" s="348"/>
      <c r="O8" s="348"/>
      <c r="P8" s="349"/>
    </row>
    <row r="9" spans="1:16" x14ac:dyDescent="0.25">
      <c r="B9" s="343"/>
      <c r="C9" s="63"/>
      <c r="D9" s="64"/>
      <c r="E9" s="64"/>
      <c r="F9" s="64"/>
      <c r="G9" s="64"/>
      <c r="H9" s="64"/>
      <c r="I9" s="65"/>
      <c r="J9" s="344"/>
      <c r="K9" s="348"/>
      <c r="L9" s="348"/>
      <c r="M9" s="348"/>
      <c r="N9" s="348"/>
      <c r="O9" s="348"/>
      <c r="P9" s="349"/>
    </row>
    <row r="10" spans="1:16" x14ac:dyDescent="0.25">
      <c r="B10" s="343"/>
      <c r="C10" s="63"/>
      <c r="D10" s="64"/>
      <c r="E10" s="64"/>
      <c r="F10" s="64"/>
      <c r="G10" s="64"/>
      <c r="H10" s="64"/>
      <c r="I10" s="65"/>
      <c r="J10" s="344"/>
      <c r="K10" s="348"/>
      <c r="L10" s="348"/>
      <c r="M10" s="348"/>
      <c r="N10" s="348"/>
      <c r="O10" s="348"/>
      <c r="P10" s="349"/>
    </row>
    <row r="11" spans="1:16" x14ac:dyDescent="0.25">
      <c r="B11" s="343"/>
      <c r="C11" s="63"/>
      <c r="D11" s="64"/>
      <c r="E11" s="64"/>
      <c r="F11" s="64"/>
      <c r="G11" s="64"/>
      <c r="H11" s="64"/>
      <c r="I11" s="65"/>
      <c r="J11" s="344"/>
      <c r="K11" s="348"/>
      <c r="L11" s="348"/>
      <c r="M11" s="348"/>
      <c r="N11" s="348"/>
      <c r="O11" s="348"/>
      <c r="P11" s="349"/>
    </row>
    <row r="12" spans="1:16" ht="30" x14ac:dyDescent="0.25">
      <c r="B12" s="343"/>
      <c r="C12" s="63"/>
      <c r="D12" s="174" t="s">
        <v>275</v>
      </c>
      <c r="E12" s="45" t="s">
        <v>278</v>
      </c>
      <c r="F12" s="45" t="s">
        <v>279</v>
      </c>
      <c r="G12" s="45" t="s">
        <v>120</v>
      </c>
      <c r="H12" s="64"/>
      <c r="I12" s="65"/>
      <c r="J12" s="344"/>
      <c r="K12" s="348"/>
      <c r="L12" s="348"/>
      <c r="M12" s="348"/>
      <c r="N12" s="348"/>
      <c r="O12" s="348"/>
      <c r="P12" s="349"/>
    </row>
    <row r="13" spans="1:16" x14ac:dyDescent="0.25">
      <c r="B13" s="343"/>
      <c r="C13" s="63"/>
      <c r="D13" s="208" t="s">
        <v>6</v>
      </c>
      <c r="E13" s="340">
        <v>1</v>
      </c>
      <c r="F13" s="340">
        <v>1.2</v>
      </c>
      <c r="G13" s="341">
        <f>F13/E13-1</f>
        <v>0.19999999999999996</v>
      </c>
      <c r="H13" s="64"/>
      <c r="I13" s="65"/>
      <c r="J13" s="344"/>
      <c r="K13" s="348"/>
      <c r="L13" s="348"/>
      <c r="M13" s="348"/>
      <c r="N13" s="348"/>
      <c r="O13" s="348"/>
      <c r="P13" s="349"/>
    </row>
    <row r="14" spans="1:16" x14ac:dyDescent="0.25">
      <c r="B14" s="343"/>
      <c r="C14" s="63"/>
      <c r="D14" s="64"/>
      <c r="E14" s="64"/>
      <c r="F14" s="64"/>
      <c r="G14" s="64"/>
      <c r="H14" s="64"/>
      <c r="I14" s="65"/>
      <c r="J14" s="344"/>
      <c r="K14" s="348"/>
      <c r="L14" s="348"/>
      <c r="M14" s="348"/>
      <c r="N14" s="348"/>
      <c r="O14" s="348"/>
      <c r="P14" s="349"/>
    </row>
    <row r="15" spans="1:16" x14ac:dyDescent="0.25">
      <c r="B15" s="343"/>
      <c r="C15" s="63"/>
      <c r="D15" s="64"/>
      <c r="E15" s="64"/>
      <c r="F15" s="64"/>
      <c r="G15" s="64"/>
      <c r="H15" s="64"/>
      <c r="I15" s="65"/>
      <c r="J15" s="344"/>
      <c r="K15" s="348"/>
      <c r="L15" s="348"/>
      <c r="M15" s="348"/>
      <c r="N15" s="348"/>
      <c r="O15" s="348"/>
      <c r="P15" s="349"/>
    </row>
    <row r="16" spans="1:16" ht="45" x14ac:dyDescent="0.25">
      <c r="B16" s="343"/>
      <c r="C16" s="63"/>
      <c r="D16" s="174" t="s">
        <v>275</v>
      </c>
      <c r="E16" s="45" t="s">
        <v>280</v>
      </c>
      <c r="F16" s="45" t="s">
        <v>279</v>
      </c>
      <c r="G16" s="45" t="s">
        <v>274</v>
      </c>
      <c r="H16" s="64"/>
      <c r="I16" s="65"/>
      <c r="J16" s="344"/>
      <c r="K16" s="348"/>
      <c r="L16" s="348"/>
      <c r="M16" s="348"/>
      <c r="N16" s="348"/>
      <c r="O16" s="348"/>
      <c r="P16" s="349"/>
    </row>
    <row r="17" spans="2:16" x14ac:dyDescent="0.25">
      <c r="B17" s="343"/>
      <c r="C17" s="63"/>
      <c r="D17" s="208" t="s">
        <v>6</v>
      </c>
      <c r="E17" s="340">
        <f>E7*(1+G13)</f>
        <v>0.12</v>
      </c>
      <c r="F17" s="340">
        <v>1.2</v>
      </c>
      <c r="G17" s="342">
        <f>F17-E17</f>
        <v>1.08</v>
      </c>
      <c r="H17" s="64"/>
      <c r="I17" s="65"/>
      <c r="J17" s="344"/>
      <c r="K17" s="348"/>
      <c r="L17" s="348"/>
      <c r="M17" s="348"/>
      <c r="N17" s="348"/>
      <c r="O17" s="348"/>
      <c r="P17" s="349"/>
    </row>
    <row r="18" spans="2:16" x14ac:dyDescent="0.25">
      <c r="B18" s="343"/>
      <c r="C18" s="63"/>
      <c r="D18" s="64"/>
      <c r="E18" s="64"/>
      <c r="F18" s="64"/>
      <c r="G18" s="64"/>
      <c r="H18" s="64"/>
      <c r="I18" s="65"/>
      <c r="J18" s="344"/>
      <c r="K18" s="348"/>
      <c r="L18" s="348"/>
      <c r="M18" s="348"/>
      <c r="N18" s="348"/>
      <c r="O18" s="348"/>
      <c r="P18" s="349"/>
    </row>
    <row r="19" spans="2:16" x14ac:dyDescent="0.25">
      <c r="B19" s="343"/>
      <c r="C19" s="66"/>
      <c r="D19" s="67"/>
      <c r="E19" s="67"/>
      <c r="F19" s="67"/>
      <c r="G19" s="67"/>
      <c r="H19" s="67"/>
      <c r="I19" s="68"/>
      <c r="J19" s="350"/>
      <c r="K19" s="351"/>
      <c r="L19" s="351"/>
      <c r="M19" s="351"/>
      <c r="N19" s="351"/>
      <c r="O19" s="351"/>
      <c r="P19" s="352"/>
    </row>
    <row r="21" spans="2:16" x14ac:dyDescent="0.25">
      <c r="B21" s="343" t="s">
        <v>282</v>
      </c>
      <c r="C21" s="60"/>
      <c r="D21" s="61" t="s">
        <v>274</v>
      </c>
      <c r="E21" s="61"/>
      <c r="F21" s="61"/>
      <c r="G21" s="61"/>
      <c r="H21" s="61"/>
      <c r="I21" s="62"/>
    </row>
    <row r="22" spans="2:16" x14ac:dyDescent="0.25">
      <c r="B22" s="343"/>
      <c r="C22" s="63"/>
      <c r="D22" s="64"/>
      <c r="E22" s="64"/>
      <c r="F22" s="64"/>
      <c r="G22" s="64"/>
      <c r="H22" s="64"/>
      <c r="I22" s="65"/>
    </row>
    <row r="23" spans="2:16" ht="30" x14ac:dyDescent="0.25">
      <c r="B23" s="343"/>
      <c r="C23" s="63"/>
      <c r="D23" s="174" t="s">
        <v>275</v>
      </c>
      <c r="E23" s="45" t="s">
        <v>277</v>
      </c>
      <c r="F23" s="64"/>
      <c r="G23" s="64"/>
      <c r="H23" s="64"/>
      <c r="I23" s="65"/>
    </row>
    <row r="24" spans="2:16" x14ac:dyDescent="0.25">
      <c r="B24" s="343"/>
      <c r="C24" s="63"/>
      <c r="D24" s="208" t="s">
        <v>6</v>
      </c>
      <c r="E24" s="340">
        <v>0.1</v>
      </c>
      <c r="F24" s="64"/>
      <c r="G24" s="64"/>
      <c r="H24" s="64"/>
      <c r="I24" s="65"/>
    </row>
    <row r="25" spans="2:16" x14ac:dyDescent="0.25">
      <c r="B25" s="343"/>
      <c r="C25" s="63"/>
      <c r="D25" s="64" t="s">
        <v>283</v>
      </c>
      <c r="E25" s="64"/>
      <c r="F25" s="64"/>
      <c r="G25" s="64"/>
      <c r="H25" s="64"/>
      <c r="I25" s="65"/>
    </row>
    <row r="26" spans="2:16" x14ac:dyDescent="0.25">
      <c r="B26" s="343"/>
      <c r="C26" s="63"/>
      <c r="D26" s="64"/>
      <c r="E26" s="64"/>
      <c r="F26" s="64"/>
      <c r="G26" s="64"/>
      <c r="H26" s="64"/>
      <c r="I26" s="65"/>
    </row>
    <row r="27" spans="2:16" x14ac:dyDescent="0.25">
      <c r="B27" s="343"/>
      <c r="C27" s="63"/>
      <c r="D27" s="64"/>
      <c r="E27" s="64"/>
      <c r="F27" s="64"/>
      <c r="G27" s="64"/>
      <c r="H27" s="64"/>
      <c r="I27" s="65"/>
    </row>
    <row r="28" spans="2:16" x14ac:dyDescent="0.25">
      <c r="B28" s="343"/>
      <c r="C28" s="63"/>
      <c r="D28" s="64"/>
      <c r="E28" s="64"/>
      <c r="F28" s="64"/>
      <c r="G28" s="64"/>
      <c r="H28" s="64"/>
      <c r="I28" s="65"/>
    </row>
    <row r="29" spans="2:16" ht="30" x14ac:dyDescent="0.25">
      <c r="B29" s="343"/>
      <c r="C29" s="63"/>
      <c r="D29" s="174" t="s">
        <v>275</v>
      </c>
      <c r="E29" s="45" t="s">
        <v>278</v>
      </c>
      <c r="F29" s="45" t="s">
        <v>279</v>
      </c>
      <c r="G29" s="45" t="s">
        <v>120</v>
      </c>
      <c r="H29" s="64"/>
      <c r="I29" s="65"/>
    </row>
    <row r="30" spans="2:16" x14ac:dyDescent="0.25">
      <c r="B30" s="343"/>
      <c r="C30" s="63"/>
      <c r="D30" s="208" t="s">
        <v>6</v>
      </c>
      <c r="E30" s="340">
        <v>1</v>
      </c>
      <c r="F30" s="340">
        <v>1.2</v>
      </c>
      <c r="G30" s="341">
        <f>F30/E30-1</f>
        <v>0.19999999999999996</v>
      </c>
      <c r="H30" s="64"/>
      <c r="I30" s="65"/>
    </row>
    <row r="31" spans="2:16" x14ac:dyDescent="0.25">
      <c r="B31" s="343"/>
      <c r="C31" s="63"/>
      <c r="D31" s="64"/>
      <c r="E31" s="64"/>
      <c r="F31" s="64"/>
      <c r="G31" s="64"/>
      <c r="H31" s="64"/>
      <c r="I31" s="65"/>
    </row>
    <row r="32" spans="2:16" x14ac:dyDescent="0.25">
      <c r="B32" s="343"/>
      <c r="C32" s="63"/>
      <c r="D32" s="64"/>
      <c r="E32" s="64"/>
      <c r="F32" s="64"/>
      <c r="G32" s="64"/>
      <c r="H32" s="64"/>
      <c r="I32" s="65"/>
    </row>
    <row r="33" spans="2:9" ht="45" x14ac:dyDescent="0.25">
      <c r="B33" s="343"/>
      <c r="C33" s="63"/>
      <c r="D33" s="174" t="s">
        <v>275</v>
      </c>
      <c r="E33" s="45" t="s">
        <v>280</v>
      </c>
      <c r="F33" s="45" t="s">
        <v>279</v>
      </c>
      <c r="G33" s="45" t="s">
        <v>274</v>
      </c>
      <c r="H33" s="64"/>
      <c r="I33" s="65"/>
    </row>
    <row r="34" spans="2:9" x14ac:dyDescent="0.25">
      <c r="B34" s="343"/>
      <c r="C34" s="63"/>
      <c r="D34" s="208" t="s">
        <v>6</v>
      </c>
      <c r="E34" s="340">
        <f>E24</f>
        <v>0.1</v>
      </c>
      <c r="F34" s="340">
        <v>1.2</v>
      </c>
      <c r="G34" s="342">
        <f>F34-E34</f>
        <v>1.0999999999999999</v>
      </c>
      <c r="H34" s="64"/>
      <c r="I34" s="65"/>
    </row>
    <row r="35" spans="2:9" x14ac:dyDescent="0.25">
      <c r="B35" s="343"/>
      <c r="C35" s="63"/>
      <c r="D35" s="64"/>
      <c r="E35" s="64"/>
      <c r="F35" s="64"/>
      <c r="G35" s="64"/>
      <c r="H35" s="64"/>
      <c r="I35" s="65"/>
    </row>
    <row r="36" spans="2:9" x14ac:dyDescent="0.25">
      <c r="B36" s="343"/>
      <c r="C36" s="66"/>
      <c r="D36" s="67"/>
      <c r="E36" s="67"/>
      <c r="F36" s="67"/>
      <c r="G36" s="67"/>
      <c r="H36" s="67"/>
      <c r="I36" s="68"/>
    </row>
  </sheetData>
  <mergeCells count="3">
    <mergeCell ref="B4:B19"/>
    <mergeCell ref="B21:B36"/>
    <mergeCell ref="J4:P19"/>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15</vt:i4>
      </vt:variant>
    </vt:vector>
  </HeadingPairs>
  <TitlesOfParts>
    <vt:vector size="15" baseType="lpstr">
      <vt:lpstr>DiscountModels</vt:lpstr>
      <vt:lpstr>Overview1</vt:lpstr>
      <vt:lpstr>Overview2</vt:lpstr>
      <vt:lpstr>SERVICES</vt:lpstr>
      <vt:lpstr>Flat</vt:lpstr>
      <vt:lpstr>LBI</vt:lpstr>
      <vt:lpstr>Baseline</vt:lpstr>
      <vt:lpstr>BackToFirst</vt:lpstr>
      <vt:lpstr>BaselineBackToFirst</vt:lpstr>
      <vt:lpstr>BalancedUnbalanced</vt:lpstr>
      <vt:lpstr>PriceCap</vt:lpstr>
      <vt:lpstr>SoP</vt:lpstr>
      <vt:lpstr>revenueCommitment</vt:lpstr>
      <vt:lpstr>revenueCommitment_UsageCaps</vt:lpstr>
      <vt:lpstr>TAX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Alexandrowa, Daniela</dc:creator>
  <cp:lastModifiedBy>Alexandrowa, Daniela</cp:lastModifiedBy>
  <dcterms:created xsi:type="dcterms:W3CDTF">2019-07-10T11:24:35Z</dcterms:created>
  <dcterms:modified xsi:type="dcterms:W3CDTF">2019-07-20T09:49:24Z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